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9.xml" ContentType="application/vnd.openxmlformats-officedocument.drawingml.chart+xml"/>
  <Override PartName="/xl/tables/table4.xml" ContentType="application/vnd.openxmlformats-officedocument.spreadsheetml.tab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tatechnologies-my.sharepoint.com/personal/app918586_tatatechnologies_com/Documents/Documents/akhilesh/Personal/MBA/MBA-in-AI-for-Business/SECOND SEMESTER 2024-25/Financial Management (S1-25_MBACCZG521)/EC1/"/>
    </mc:Choice>
  </mc:AlternateContent>
  <xr:revisionPtr revIDLastSave="14" documentId="13_ncr:1_{2D5DF370-C548-47CF-9368-05049F095F35}" xr6:coauthVersionLast="47" xr6:coauthVersionMax="47" xr10:uidLastSave="{E100E4DA-F4A8-4FF2-AB7A-2A5435FDD3B1}"/>
  <bookViews>
    <workbookView xWindow="-108" yWindow="-108" windowWidth="23256" windowHeight="12456" firstSheet="3" activeTab="6" xr2:uid="{1BBD58A2-B39D-40ED-9EF4-6B06C08FAC95}"/>
  </bookViews>
  <sheets>
    <sheet name="Summary" sheetId="8" r:id="rId1"/>
    <sheet name="DDM" sheetId="7" r:id="rId2"/>
    <sheet name="CAPM" sheetId="6" r:id="rId3"/>
    <sheet name="Monthly Vs Risk" sheetId="4" r:id="rId4"/>
    <sheet name="Dividend " sheetId="3" r:id="rId5"/>
    <sheet name="Adani Total Gas Stock Price His" sheetId="1" r:id="rId6"/>
    <sheet name="Nifty 50 Historical Data" sheetId="2" r:id="rId7"/>
    <sheet name="Reference" sheetId="5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" i="8" l="1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24" i="8"/>
  <c r="F13" i="8"/>
  <c r="F14" i="8"/>
  <c r="F15" i="8"/>
  <c r="F16" i="8"/>
  <c r="F17" i="8"/>
  <c r="E13" i="8"/>
  <c r="E14" i="8"/>
  <c r="E15" i="8"/>
  <c r="E16" i="8"/>
  <c r="E17" i="8"/>
  <c r="E12" i="8"/>
  <c r="K23" i="8"/>
  <c r="J23" i="8"/>
  <c r="I23" i="8"/>
  <c r="E28" i="8"/>
  <c r="D23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E25" i="8" s="1"/>
  <c r="B44" i="8"/>
  <c r="B45" i="8"/>
  <c r="B46" i="8"/>
  <c r="B47" i="8"/>
  <c r="B48" i="8"/>
  <c r="B49" i="8"/>
  <c r="B50" i="8"/>
  <c r="E26" i="8" s="1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E27" i="8" s="1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I5" i="1"/>
  <c r="J5" i="1" s="1"/>
  <c r="D25" i="8" s="1"/>
  <c r="I6" i="1"/>
  <c r="J6" i="1" s="1"/>
  <c r="D26" i="8" s="1"/>
  <c r="I7" i="1"/>
  <c r="J7" i="1" s="1"/>
  <c r="D27" i="8" s="1"/>
  <c r="I8" i="1"/>
  <c r="J8" i="1" s="1"/>
  <c r="D28" i="8" s="1"/>
  <c r="I9" i="1"/>
  <c r="J9" i="1" s="1"/>
  <c r="D29" i="8" s="1"/>
  <c r="I10" i="1"/>
  <c r="J10" i="1" s="1"/>
  <c r="D30" i="8" s="1"/>
  <c r="I11" i="1"/>
  <c r="J11" i="1" s="1"/>
  <c r="D31" i="8" s="1"/>
  <c r="I12" i="1"/>
  <c r="J12" i="1" s="1"/>
  <c r="D32" i="8" s="1"/>
  <c r="I13" i="1"/>
  <c r="J13" i="1" s="1"/>
  <c r="D33" i="8" s="1"/>
  <c r="I14" i="1"/>
  <c r="J14" i="1" s="1"/>
  <c r="D34" i="8" s="1"/>
  <c r="I15" i="1"/>
  <c r="J15" i="1" s="1"/>
  <c r="D35" i="8" s="1"/>
  <c r="I16" i="1"/>
  <c r="J16" i="1" s="1"/>
  <c r="D36" i="8" s="1"/>
  <c r="I17" i="1"/>
  <c r="J17" i="1" s="1"/>
  <c r="D37" i="8" s="1"/>
  <c r="I18" i="1"/>
  <c r="J18" i="1" s="1"/>
  <c r="D38" i="8" s="1"/>
  <c r="I19" i="1"/>
  <c r="J19" i="1" s="1"/>
  <c r="D39" i="8" s="1"/>
  <c r="I20" i="1"/>
  <c r="J20" i="1" s="1"/>
  <c r="D40" i="8" s="1"/>
  <c r="I21" i="1"/>
  <c r="J21" i="1" s="1"/>
  <c r="D41" i="8" s="1"/>
  <c r="I22" i="1"/>
  <c r="J22" i="1" s="1"/>
  <c r="D42" i="8" s="1"/>
  <c r="I23" i="1"/>
  <c r="J23" i="1" s="1"/>
  <c r="D43" i="8" s="1"/>
  <c r="I24" i="1"/>
  <c r="J24" i="1" s="1"/>
  <c r="D44" i="8" s="1"/>
  <c r="I25" i="1"/>
  <c r="J25" i="1" s="1"/>
  <c r="D45" i="8" s="1"/>
  <c r="I26" i="1"/>
  <c r="J26" i="1" s="1"/>
  <c r="D46" i="8" s="1"/>
  <c r="I27" i="1"/>
  <c r="J27" i="1" s="1"/>
  <c r="D47" i="8" s="1"/>
  <c r="I28" i="1"/>
  <c r="J28" i="1" s="1"/>
  <c r="D48" i="8" s="1"/>
  <c r="I29" i="1"/>
  <c r="J29" i="1" s="1"/>
  <c r="D49" i="8" s="1"/>
  <c r="I30" i="1"/>
  <c r="J30" i="1" s="1"/>
  <c r="D50" i="8" s="1"/>
  <c r="I31" i="1"/>
  <c r="J31" i="1" s="1"/>
  <c r="D51" i="8" s="1"/>
  <c r="I32" i="1"/>
  <c r="J32" i="1" s="1"/>
  <c r="D52" i="8" s="1"/>
  <c r="I33" i="1"/>
  <c r="J33" i="1" s="1"/>
  <c r="D53" i="8" s="1"/>
  <c r="I34" i="1"/>
  <c r="J34" i="1" s="1"/>
  <c r="D54" i="8" s="1"/>
  <c r="I35" i="1"/>
  <c r="J35" i="1" s="1"/>
  <c r="D55" i="8" s="1"/>
  <c r="I36" i="1"/>
  <c r="J36" i="1" s="1"/>
  <c r="D56" i="8" s="1"/>
  <c r="I37" i="1"/>
  <c r="J37" i="1" s="1"/>
  <c r="D57" i="8" s="1"/>
  <c r="I38" i="1"/>
  <c r="J38" i="1" s="1"/>
  <c r="D58" i="8" s="1"/>
  <c r="I39" i="1"/>
  <c r="J39" i="1" s="1"/>
  <c r="D59" i="8" s="1"/>
  <c r="I40" i="1"/>
  <c r="J40" i="1" s="1"/>
  <c r="D60" i="8" s="1"/>
  <c r="I41" i="1"/>
  <c r="J41" i="1" s="1"/>
  <c r="D61" i="8" s="1"/>
  <c r="I42" i="1"/>
  <c r="J42" i="1" s="1"/>
  <c r="D62" i="8" s="1"/>
  <c r="I43" i="1"/>
  <c r="J43" i="1" s="1"/>
  <c r="D63" i="8" s="1"/>
  <c r="I44" i="1"/>
  <c r="J44" i="1" s="1"/>
  <c r="D64" i="8" s="1"/>
  <c r="I45" i="1"/>
  <c r="J45" i="1" s="1"/>
  <c r="D65" i="8" s="1"/>
  <c r="I46" i="1"/>
  <c r="J46" i="1" s="1"/>
  <c r="D66" i="8" s="1"/>
  <c r="I47" i="1"/>
  <c r="J47" i="1" s="1"/>
  <c r="D67" i="8" s="1"/>
  <c r="I48" i="1"/>
  <c r="J48" i="1" s="1"/>
  <c r="D68" i="8" s="1"/>
  <c r="I49" i="1"/>
  <c r="J49" i="1" s="1"/>
  <c r="D69" i="8" s="1"/>
  <c r="I50" i="1"/>
  <c r="J50" i="1" s="1"/>
  <c r="D70" i="8" s="1"/>
  <c r="I51" i="1"/>
  <c r="J51" i="1" s="1"/>
  <c r="D71" i="8" s="1"/>
  <c r="I52" i="1"/>
  <c r="J52" i="1" s="1"/>
  <c r="D72" i="8" s="1"/>
  <c r="I53" i="1"/>
  <c r="J53" i="1" s="1"/>
  <c r="D73" i="8" s="1"/>
  <c r="I54" i="1"/>
  <c r="J54" i="1" s="1"/>
  <c r="D74" i="8" s="1"/>
  <c r="I55" i="1"/>
  <c r="J55" i="1" s="1"/>
  <c r="D75" i="8" s="1"/>
  <c r="I56" i="1"/>
  <c r="J56" i="1" s="1"/>
  <c r="D76" i="8" s="1"/>
  <c r="I57" i="1"/>
  <c r="J57" i="1" s="1"/>
  <c r="D77" i="8" s="1"/>
  <c r="I58" i="1"/>
  <c r="J58" i="1" s="1"/>
  <c r="D78" i="8" s="1"/>
  <c r="I59" i="1"/>
  <c r="J59" i="1" s="1"/>
  <c r="D79" i="8" s="1"/>
  <c r="I60" i="1"/>
  <c r="J60" i="1" s="1"/>
  <c r="D80" i="8" s="1"/>
  <c r="I61" i="1"/>
  <c r="J61" i="1" s="1"/>
  <c r="D81" i="8" s="1"/>
  <c r="I62" i="1"/>
  <c r="J62" i="1" s="1"/>
  <c r="D82" i="8" s="1"/>
  <c r="I63" i="1"/>
  <c r="J63" i="1" s="1"/>
  <c r="D83" i="8" s="1"/>
  <c r="I4" i="1"/>
  <c r="J4" i="1" s="1"/>
  <c r="D24" i="8" s="1"/>
  <c r="G24" i="8" s="1"/>
  <c r="B24" i="8"/>
  <c r="E24" i="8" s="1"/>
  <c r="C24" i="8"/>
  <c r="F24" i="8" s="1"/>
  <c r="C25" i="8"/>
  <c r="C26" i="8"/>
  <c r="C27" i="8"/>
  <c r="C28" i="8"/>
  <c r="C29" i="8"/>
  <c r="C30" i="8"/>
  <c r="C31" i="8"/>
  <c r="C32" i="8"/>
  <c r="C33" i="8"/>
  <c r="C34" i="8"/>
  <c r="C35" i="8"/>
  <c r="C36" i="8"/>
  <c r="F25" i="8" s="1"/>
  <c r="C37" i="8"/>
  <c r="C38" i="8"/>
  <c r="C39" i="8"/>
  <c r="C40" i="8"/>
  <c r="C41" i="8"/>
  <c r="C42" i="8"/>
  <c r="C43" i="8"/>
  <c r="C44" i="8"/>
  <c r="C45" i="8"/>
  <c r="C46" i="8"/>
  <c r="C47" i="8"/>
  <c r="C48" i="8"/>
  <c r="F26" i="8" s="1"/>
  <c r="C49" i="8"/>
  <c r="C50" i="8"/>
  <c r="C51" i="8"/>
  <c r="C52" i="8"/>
  <c r="C53" i="8"/>
  <c r="C54" i="8"/>
  <c r="C55" i="8"/>
  <c r="C56" i="8"/>
  <c r="C57" i="8"/>
  <c r="C58" i="8"/>
  <c r="C59" i="8"/>
  <c r="C60" i="8"/>
  <c r="F27" i="8" s="1"/>
  <c r="C61" i="8"/>
  <c r="C62" i="8"/>
  <c r="C63" i="8"/>
  <c r="C64" i="8"/>
  <c r="C65" i="8"/>
  <c r="C66" i="8"/>
  <c r="C67" i="8"/>
  <c r="C68" i="8"/>
  <c r="C69" i="8"/>
  <c r="C70" i="8"/>
  <c r="C71" i="8"/>
  <c r="C72" i="8"/>
  <c r="F28" i="8" s="1"/>
  <c r="C73" i="8"/>
  <c r="C74" i="8"/>
  <c r="C75" i="8"/>
  <c r="C76" i="8"/>
  <c r="C77" i="8"/>
  <c r="C78" i="8"/>
  <c r="C79" i="8"/>
  <c r="C80" i="8"/>
  <c r="C81" i="8"/>
  <c r="C82" i="8"/>
  <c r="C83" i="8"/>
  <c r="C23" i="8"/>
  <c r="B23" i="8"/>
  <c r="C18" i="8"/>
  <c r="B15" i="8"/>
  <c r="B16" i="8"/>
  <c r="C16" i="8"/>
  <c r="B17" i="8"/>
  <c r="C17" i="8"/>
  <c r="B18" i="8"/>
  <c r="B19" i="8"/>
  <c r="B14" i="8"/>
  <c r="B13" i="8"/>
  <c r="B5" i="8"/>
  <c r="C5" i="8"/>
  <c r="B6" i="8"/>
  <c r="C6" i="8"/>
  <c r="B7" i="8"/>
  <c r="C7" i="8"/>
  <c r="B8" i="8"/>
  <c r="B9" i="8"/>
  <c r="C4" i="8"/>
  <c r="B4" i="8"/>
  <c r="G27" i="8" l="1"/>
  <c r="G25" i="8"/>
  <c r="G28" i="8"/>
  <c r="G26" i="8"/>
  <c r="C11" i="3"/>
  <c r="C15" i="7"/>
  <c r="C17" i="7" s="1"/>
  <c r="E69" i="6"/>
  <c r="E67" i="6"/>
  <c r="E68" i="6" s="1"/>
  <c r="L7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2" i="6"/>
  <c r="G23" i="7" l="1"/>
  <c r="C25" i="7"/>
  <c r="C26" i="7"/>
  <c r="G25" i="7"/>
  <c r="C27" i="7"/>
  <c r="G26" i="7"/>
  <c r="G27" i="7"/>
  <c r="F23" i="7"/>
  <c r="F24" i="7"/>
  <c r="F25" i="7"/>
  <c r="F26" i="7"/>
  <c r="F27" i="7"/>
  <c r="E23" i="7"/>
  <c r="E24" i="7"/>
  <c r="E25" i="7"/>
  <c r="E26" i="7"/>
  <c r="E27" i="7"/>
  <c r="D23" i="7"/>
  <c r="D24" i="7"/>
  <c r="D25" i="7"/>
  <c r="D27" i="7"/>
  <c r="C23" i="7"/>
  <c r="G24" i="7"/>
  <c r="D26" i="7"/>
  <c r="C24" i="7"/>
  <c r="B3" i="4" l="1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2" i="4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2" i="6"/>
  <c r="D4" i="6" l="1"/>
  <c r="J26" i="8" s="1"/>
  <c r="L26" i="8" s="1"/>
  <c r="D8" i="6"/>
  <c r="J30" i="8" s="1"/>
  <c r="L30" i="8" s="1"/>
  <c r="D9" i="6"/>
  <c r="J31" i="8" s="1"/>
  <c r="L31" i="8" s="1"/>
  <c r="D11" i="6"/>
  <c r="J33" i="8" s="1"/>
  <c r="L33" i="8" s="1"/>
  <c r="D12" i="6"/>
  <c r="J34" i="8" s="1"/>
  <c r="L34" i="8" s="1"/>
  <c r="D13" i="6"/>
  <c r="J35" i="8" s="1"/>
  <c r="L35" i="8" s="1"/>
  <c r="D15" i="6"/>
  <c r="J37" i="8" s="1"/>
  <c r="L37" i="8" s="1"/>
  <c r="D27" i="6"/>
  <c r="J49" i="8" s="1"/>
  <c r="L49" i="8" s="1"/>
  <c r="D28" i="6"/>
  <c r="J50" i="8" s="1"/>
  <c r="L50" i="8" s="1"/>
  <c r="D36" i="6"/>
  <c r="J58" i="8" s="1"/>
  <c r="L58" i="8" s="1"/>
  <c r="D49" i="6"/>
  <c r="J71" i="8" s="1"/>
  <c r="L71" i="8" s="1"/>
  <c r="D50" i="6"/>
  <c r="J72" i="8" s="1"/>
  <c r="L72" i="8" s="1"/>
  <c r="D51" i="6"/>
  <c r="J73" i="8" s="1"/>
  <c r="L73" i="8" s="1"/>
  <c r="D53" i="6"/>
  <c r="J75" i="8" s="1"/>
  <c r="L75" i="8" s="1"/>
  <c r="D54" i="6"/>
  <c r="J76" i="8" s="1"/>
  <c r="L76" i="8" s="1"/>
  <c r="D55" i="6"/>
  <c r="J77" i="8" s="1"/>
  <c r="L77" i="8" s="1"/>
  <c r="D57" i="6"/>
  <c r="J79" i="8" s="1"/>
  <c r="L79" i="8" s="1"/>
  <c r="D59" i="6"/>
  <c r="J81" i="8" s="1"/>
  <c r="L81" i="8" s="1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2" i="6"/>
  <c r="C69" i="4"/>
  <c r="G4" i="4"/>
  <c r="G5" i="4"/>
  <c r="G6" i="4"/>
  <c r="G26" i="4"/>
  <c r="G48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2" i="4"/>
  <c r="E4" i="4"/>
  <c r="E5" i="4"/>
  <c r="E7" i="4"/>
  <c r="E8" i="4"/>
  <c r="E9" i="4"/>
  <c r="E15" i="4"/>
  <c r="E16" i="4"/>
  <c r="E26" i="4"/>
  <c r="E27" i="4"/>
  <c r="E29" i="4"/>
  <c r="E30" i="4"/>
  <c r="E31" i="4"/>
  <c r="E32" i="4"/>
  <c r="E33" i="4"/>
  <c r="E37" i="4"/>
  <c r="E38" i="4"/>
  <c r="E48" i="4"/>
  <c r="E49" i="4"/>
  <c r="E50" i="4"/>
  <c r="E53" i="4"/>
  <c r="E54" i="4"/>
  <c r="E55" i="4"/>
  <c r="E59" i="4"/>
  <c r="E60" i="4"/>
  <c r="D3" i="4"/>
  <c r="D3" i="6" s="1"/>
  <c r="J25" i="8" s="1"/>
  <c r="L25" i="8" s="1"/>
  <c r="D4" i="4"/>
  <c r="D5" i="4"/>
  <c r="D5" i="6" s="1"/>
  <c r="J27" i="8" s="1"/>
  <c r="L27" i="8" s="1"/>
  <c r="D6" i="4"/>
  <c r="D6" i="6" s="1"/>
  <c r="J28" i="8" s="1"/>
  <c r="L28" i="8" s="1"/>
  <c r="D7" i="4"/>
  <c r="G7" i="4" s="1"/>
  <c r="D8" i="4"/>
  <c r="G8" i="4" s="1"/>
  <c r="D9" i="4"/>
  <c r="G9" i="4" s="1"/>
  <c r="D10" i="4"/>
  <c r="G10" i="4" s="1"/>
  <c r="D11" i="4"/>
  <c r="G11" i="4" s="1"/>
  <c r="D12" i="4"/>
  <c r="G12" i="4" s="1"/>
  <c r="D13" i="4"/>
  <c r="G13" i="4" s="1"/>
  <c r="D14" i="4"/>
  <c r="G14" i="4" s="1"/>
  <c r="D15" i="4"/>
  <c r="G15" i="4" s="1"/>
  <c r="D16" i="4"/>
  <c r="D16" i="6" s="1"/>
  <c r="J38" i="8" s="1"/>
  <c r="L38" i="8" s="1"/>
  <c r="D17" i="4"/>
  <c r="D17" i="6" s="1"/>
  <c r="J39" i="8" s="1"/>
  <c r="L39" i="8" s="1"/>
  <c r="D18" i="4"/>
  <c r="D18" i="6" s="1"/>
  <c r="J40" i="8" s="1"/>
  <c r="L40" i="8" s="1"/>
  <c r="D19" i="4"/>
  <c r="D19" i="6" s="1"/>
  <c r="J41" i="8" s="1"/>
  <c r="L41" i="8" s="1"/>
  <c r="D20" i="4"/>
  <c r="E20" i="4" s="1"/>
  <c r="D21" i="4"/>
  <c r="E21" i="4" s="1"/>
  <c r="D22" i="4"/>
  <c r="G22" i="4" s="1"/>
  <c r="D23" i="4"/>
  <c r="G23" i="4" s="1"/>
  <c r="D24" i="4"/>
  <c r="E24" i="4" s="1"/>
  <c r="D25" i="4"/>
  <c r="E25" i="4" s="1"/>
  <c r="D26" i="4"/>
  <c r="D26" i="6" s="1"/>
  <c r="J48" i="8" s="1"/>
  <c r="L48" i="8" s="1"/>
  <c r="D27" i="4"/>
  <c r="G27" i="4" s="1"/>
  <c r="D28" i="4"/>
  <c r="E28" i="4" s="1"/>
  <c r="D29" i="4"/>
  <c r="G29" i="4" s="1"/>
  <c r="D30" i="4"/>
  <c r="G30" i="4" s="1"/>
  <c r="D31" i="4"/>
  <c r="G31" i="4" s="1"/>
  <c r="D32" i="4"/>
  <c r="G32" i="4" s="1"/>
  <c r="D33" i="4"/>
  <c r="G33" i="4" s="1"/>
  <c r="D34" i="4"/>
  <c r="G34" i="4" s="1"/>
  <c r="D35" i="4"/>
  <c r="G35" i="4" s="1"/>
  <c r="D36" i="4"/>
  <c r="G36" i="4" s="1"/>
  <c r="D37" i="4"/>
  <c r="D38" i="4"/>
  <c r="D38" i="6" s="1"/>
  <c r="J60" i="8" s="1"/>
  <c r="L60" i="8" s="1"/>
  <c r="D39" i="4"/>
  <c r="D39" i="6" s="1"/>
  <c r="J61" i="8" s="1"/>
  <c r="L61" i="8" s="1"/>
  <c r="D40" i="4"/>
  <c r="D40" i="6" s="1"/>
  <c r="J62" i="8" s="1"/>
  <c r="L62" i="8" s="1"/>
  <c r="D41" i="4"/>
  <c r="G41" i="4" s="1"/>
  <c r="D42" i="4"/>
  <c r="E42" i="4" s="1"/>
  <c r="D43" i="4"/>
  <c r="E43" i="4" s="1"/>
  <c r="D44" i="4"/>
  <c r="D44" i="6" s="1"/>
  <c r="J66" i="8" s="1"/>
  <c r="L66" i="8" s="1"/>
  <c r="D45" i="4"/>
  <c r="G45" i="4" s="1"/>
  <c r="D46" i="4"/>
  <c r="E46" i="4" s="1"/>
  <c r="D47" i="4"/>
  <c r="G47" i="4" s="1"/>
  <c r="D48" i="4"/>
  <c r="D48" i="6" s="1"/>
  <c r="J70" i="8" s="1"/>
  <c r="L70" i="8" s="1"/>
  <c r="D49" i="4"/>
  <c r="G49" i="4" s="1"/>
  <c r="D50" i="4"/>
  <c r="G50" i="4" s="1"/>
  <c r="D51" i="4"/>
  <c r="G51" i="4" s="1"/>
  <c r="D52" i="4"/>
  <c r="G52" i="4" s="1"/>
  <c r="D53" i="4"/>
  <c r="G53" i="4" s="1"/>
  <c r="D54" i="4"/>
  <c r="G54" i="4" s="1"/>
  <c r="D55" i="4"/>
  <c r="G55" i="4" s="1"/>
  <c r="D56" i="4"/>
  <c r="G56" i="4" s="1"/>
  <c r="D57" i="4"/>
  <c r="G57" i="4" s="1"/>
  <c r="D58" i="4"/>
  <c r="G58" i="4" s="1"/>
  <c r="D59" i="4"/>
  <c r="G59" i="4" s="1"/>
  <c r="D60" i="4"/>
  <c r="D60" i="6" s="1"/>
  <c r="J82" i="8" s="1"/>
  <c r="L82" i="8" s="1"/>
  <c r="D2" i="4"/>
  <c r="D2" i="6" s="1"/>
  <c r="J24" i="8" s="1"/>
  <c r="L24" i="8" s="1"/>
  <c r="C3" i="4"/>
  <c r="C4" i="4"/>
  <c r="C5" i="4"/>
  <c r="C6" i="4"/>
  <c r="C7" i="4"/>
  <c r="C8" i="4"/>
  <c r="C9" i="4"/>
  <c r="C64" i="4" s="1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2" i="4"/>
  <c r="B63" i="4"/>
  <c r="C63" i="4" l="1"/>
  <c r="E40" i="4"/>
  <c r="E12" i="4"/>
  <c r="D32" i="6"/>
  <c r="J54" i="8" s="1"/>
  <c r="L54" i="8" s="1"/>
  <c r="E39" i="4"/>
  <c r="E11" i="4"/>
  <c r="D31" i="6"/>
  <c r="J53" i="8" s="1"/>
  <c r="L53" i="8" s="1"/>
  <c r="D35" i="6"/>
  <c r="J57" i="8" s="1"/>
  <c r="L57" i="8" s="1"/>
  <c r="D34" i="6"/>
  <c r="J56" i="8" s="1"/>
  <c r="L56" i="8" s="1"/>
  <c r="E13" i="4"/>
  <c r="D33" i="6"/>
  <c r="J55" i="8" s="1"/>
  <c r="L55" i="8" s="1"/>
  <c r="E10" i="4"/>
  <c r="D30" i="6"/>
  <c r="J52" i="8" s="1"/>
  <c r="L52" i="8" s="1"/>
  <c r="E14" i="4"/>
  <c r="D29" i="6"/>
  <c r="J51" i="8" s="1"/>
  <c r="L51" i="8" s="1"/>
  <c r="E41" i="4"/>
  <c r="E36" i="4"/>
  <c r="E35" i="4"/>
  <c r="G28" i="4"/>
  <c r="E34" i="4"/>
  <c r="E6" i="4"/>
  <c r="D58" i="6"/>
  <c r="J80" i="8" s="1"/>
  <c r="L80" i="8" s="1"/>
  <c r="D56" i="6"/>
  <c r="J78" i="8" s="1"/>
  <c r="L78" i="8" s="1"/>
  <c r="D14" i="6"/>
  <c r="J36" i="8" s="1"/>
  <c r="L36" i="8" s="1"/>
  <c r="E58" i="4"/>
  <c r="E57" i="4"/>
  <c r="E56" i="4"/>
  <c r="D52" i="6"/>
  <c r="J74" i="8" s="1"/>
  <c r="L74" i="8" s="1"/>
  <c r="D10" i="6"/>
  <c r="J32" i="8" s="1"/>
  <c r="L32" i="8" s="1"/>
  <c r="D7" i="6"/>
  <c r="J29" i="8" s="1"/>
  <c r="L29" i="8" s="1"/>
  <c r="E52" i="4"/>
  <c r="E18" i="4"/>
  <c r="E19" i="4"/>
  <c r="G37" i="4"/>
  <c r="E51" i="4"/>
  <c r="E17" i="4"/>
  <c r="D37" i="6"/>
  <c r="J59" i="8" s="1"/>
  <c r="L59" i="8" s="1"/>
  <c r="F33" i="6"/>
  <c r="I55" i="8"/>
  <c r="M55" i="8" s="1"/>
  <c r="F54" i="6"/>
  <c r="I76" i="8"/>
  <c r="M76" i="8" s="1"/>
  <c r="F10" i="6"/>
  <c r="I32" i="8"/>
  <c r="M32" i="8" s="1"/>
  <c r="F53" i="6"/>
  <c r="I75" i="8"/>
  <c r="M75" i="8" s="1"/>
  <c r="F9" i="6"/>
  <c r="I31" i="8"/>
  <c r="M31" i="8" s="1"/>
  <c r="F52" i="6"/>
  <c r="I74" i="8"/>
  <c r="M74" i="8" s="1"/>
  <c r="F8" i="6"/>
  <c r="I30" i="8"/>
  <c r="M30" i="8" s="1"/>
  <c r="F51" i="6"/>
  <c r="I73" i="8"/>
  <c r="M73" i="8" s="1"/>
  <c r="F7" i="6"/>
  <c r="I29" i="8"/>
  <c r="M29" i="8" s="1"/>
  <c r="F50" i="6"/>
  <c r="I72" i="8"/>
  <c r="M72" i="8" s="1"/>
  <c r="F6" i="6"/>
  <c r="I28" i="8"/>
  <c r="M28" i="8" s="1"/>
  <c r="F5" i="6"/>
  <c r="I27" i="8"/>
  <c r="M27" i="8" s="1"/>
  <c r="F48" i="6"/>
  <c r="I70" i="8"/>
  <c r="M70" i="8" s="1"/>
  <c r="F4" i="6"/>
  <c r="I26" i="8"/>
  <c r="M26" i="8" s="1"/>
  <c r="F3" i="6"/>
  <c r="I25" i="8"/>
  <c r="M25" i="8" s="1"/>
  <c r="F46" i="6"/>
  <c r="I68" i="8"/>
  <c r="M68" i="8" s="1"/>
  <c r="F23" i="6"/>
  <c r="I45" i="8"/>
  <c r="M45" i="8" s="1"/>
  <c r="F43" i="6"/>
  <c r="I65" i="8"/>
  <c r="M65" i="8" s="1"/>
  <c r="F42" i="6"/>
  <c r="I64" i="8"/>
  <c r="M64" i="8" s="1"/>
  <c r="F14" i="6"/>
  <c r="I36" i="8"/>
  <c r="M36" i="8" s="1"/>
  <c r="F55" i="6"/>
  <c r="I77" i="8"/>
  <c r="M77" i="8" s="1"/>
  <c r="F32" i="6"/>
  <c r="I54" i="8"/>
  <c r="M54" i="8" s="1"/>
  <c r="F31" i="6"/>
  <c r="I53" i="8"/>
  <c r="M53" i="8" s="1"/>
  <c r="F30" i="6"/>
  <c r="I52" i="8"/>
  <c r="M52" i="8" s="1"/>
  <c r="F29" i="6"/>
  <c r="I51" i="8"/>
  <c r="M51" i="8" s="1"/>
  <c r="F28" i="6"/>
  <c r="I50" i="8"/>
  <c r="M50" i="8" s="1"/>
  <c r="F49" i="6"/>
  <c r="I71" i="8"/>
  <c r="M71" i="8" s="1"/>
  <c r="F27" i="6"/>
  <c r="I49" i="8"/>
  <c r="M49" i="8" s="1"/>
  <c r="F26" i="6"/>
  <c r="I48" i="8"/>
  <c r="M48" i="8" s="1"/>
  <c r="F47" i="6"/>
  <c r="I69" i="8"/>
  <c r="M69" i="8" s="1"/>
  <c r="F25" i="6"/>
  <c r="I47" i="8"/>
  <c r="M47" i="8" s="1"/>
  <c r="F24" i="6"/>
  <c r="I46" i="8"/>
  <c r="M46" i="8" s="1"/>
  <c r="F45" i="6"/>
  <c r="I67" i="8"/>
  <c r="M67" i="8" s="1"/>
  <c r="F44" i="6"/>
  <c r="I66" i="8"/>
  <c r="M66" i="8" s="1"/>
  <c r="F22" i="6"/>
  <c r="I44" i="8"/>
  <c r="M44" i="8" s="1"/>
  <c r="F21" i="6"/>
  <c r="I43" i="8"/>
  <c r="M43" i="8" s="1"/>
  <c r="F20" i="6"/>
  <c r="I42" i="8"/>
  <c r="M42" i="8" s="1"/>
  <c r="F41" i="6"/>
  <c r="I63" i="8"/>
  <c r="M63" i="8" s="1"/>
  <c r="F19" i="6"/>
  <c r="I41" i="8"/>
  <c r="M41" i="8" s="1"/>
  <c r="F40" i="6"/>
  <c r="I62" i="8"/>
  <c r="M62" i="8" s="1"/>
  <c r="F18" i="6"/>
  <c r="I40" i="8"/>
  <c r="M40" i="8" s="1"/>
  <c r="F2" i="6"/>
  <c r="F63" i="6" s="1"/>
  <c r="I24" i="8"/>
  <c r="M24" i="8" s="1"/>
  <c r="C63" i="6"/>
  <c r="E65" i="6"/>
  <c r="F39" i="6"/>
  <c r="I61" i="8"/>
  <c r="M61" i="8" s="1"/>
  <c r="F17" i="6"/>
  <c r="I39" i="8"/>
  <c r="M39" i="8" s="1"/>
  <c r="F60" i="6"/>
  <c r="I82" i="8"/>
  <c r="M82" i="8" s="1"/>
  <c r="F38" i="6"/>
  <c r="I60" i="8"/>
  <c r="M60" i="8" s="1"/>
  <c r="F16" i="6"/>
  <c r="I38" i="8"/>
  <c r="M38" i="8" s="1"/>
  <c r="F59" i="6"/>
  <c r="I81" i="8"/>
  <c r="M81" i="8" s="1"/>
  <c r="F37" i="6"/>
  <c r="I59" i="8"/>
  <c r="M59" i="8" s="1"/>
  <c r="F15" i="6"/>
  <c r="I37" i="8"/>
  <c r="M37" i="8" s="1"/>
  <c r="F58" i="6"/>
  <c r="I80" i="8"/>
  <c r="M80" i="8" s="1"/>
  <c r="F36" i="6"/>
  <c r="I58" i="8"/>
  <c r="M58" i="8" s="1"/>
  <c r="F57" i="6"/>
  <c r="I79" i="8"/>
  <c r="M79" i="8" s="1"/>
  <c r="F35" i="6"/>
  <c r="I57" i="8"/>
  <c r="M57" i="8" s="1"/>
  <c r="F13" i="6"/>
  <c r="I35" i="8"/>
  <c r="M35" i="8" s="1"/>
  <c r="F56" i="6"/>
  <c r="I78" i="8"/>
  <c r="M78" i="8" s="1"/>
  <c r="F34" i="6"/>
  <c r="I56" i="8"/>
  <c r="M56" i="8" s="1"/>
  <c r="F12" i="6"/>
  <c r="I34" i="8"/>
  <c r="M34" i="8" s="1"/>
  <c r="F11" i="6"/>
  <c r="I33" i="8"/>
  <c r="M33" i="8" s="1"/>
  <c r="G25" i="4"/>
  <c r="G46" i="4"/>
  <c r="G44" i="4"/>
  <c r="G42" i="4"/>
  <c r="G19" i="4"/>
  <c r="G40" i="4"/>
  <c r="G18" i="4"/>
  <c r="G39" i="4"/>
  <c r="G38" i="4"/>
  <c r="G16" i="4"/>
  <c r="D47" i="6"/>
  <c r="J69" i="8" s="1"/>
  <c r="L69" i="8" s="1"/>
  <c r="D25" i="6"/>
  <c r="J47" i="8" s="1"/>
  <c r="L47" i="8" s="1"/>
  <c r="D46" i="6"/>
  <c r="J68" i="8" s="1"/>
  <c r="L68" i="8" s="1"/>
  <c r="D24" i="6"/>
  <c r="J46" i="8" s="1"/>
  <c r="L46" i="8" s="1"/>
  <c r="D45" i="6"/>
  <c r="J67" i="8" s="1"/>
  <c r="L67" i="8" s="1"/>
  <c r="D23" i="6"/>
  <c r="J45" i="8" s="1"/>
  <c r="L45" i="8" s="1"/>
  <c r="D22" i="6"/>
  <c r="J44" i="8" s="1"/>
  <c r="L44" i="8" s="1"/>
  <c r="E47" i="4"/>
  <c r="E3" i="4"/>
  <c r="D21" i="6"/>
  <c r="J43" i="8" s="1"/>
  <c r="L43" i="8" s="1"/>
  <c r="D63" i="4"/>
  <c r="D20" i="6"/>
  <c r="J42" i="8" s="1"/>
  <c r="L42" i="8" s="1"/>
  <c r="E45" i="4"/>
  <c r="E23" i="4"/>
  <c r="D41" i="6"/>
  <c r="J63" i="8" s="1"/>
  <c r="L63" i="8" s="1"/>
  <c r="E44" i="4"/>
  <c r="E22" i="4"/>
  <c r="D64" i="4"/>
  <c r="C73" i="4" s="1"/>
  <c r="G3" i="4"/>
  <c r="G24" i="4"/>
  <c r="G43" i="4"/>
  <c r="G21" i="4"/>
  <c r="G20" i="4"/>
  <c r="G17" i="4"/>
  <c r="G60" i="4"/>
  <c r="D43" i="6"/>
  <c r="J65" i="8" s="1"/>
  <c r="L65" i="8" s="1"/>
  <c r="D42" i="6"/>
  <c r="J64" i="8" s="1"/>
  <c r="L64" i="8" s="1"/>
  <c r="G2" i="4"/>
  <c r="G66" i="4" s="1"/>
  <c r="H37" i="4" s="1"/>
  <c r="E2" i="4"/>
  <c r="C14" i="8" l="1"/>
  <c r="C13" i="8"/>
  <c r="E66" i="6"/>
  <c r="C65" i="4"/>
  <c r="D65" i="4" s="1"/>
  <c r="B73" i="4" s="1"/>
  <c r="H22" i="4"/>
  <c r="H44" i="4"/>
  <c r="H23" i="4"/>
  <c r="H45" i="4"/>
  <c r="H48" i="4"/>
  <c r="H24" i="4"/>
  <c r="H46" i="4"/>
  <c r="H3" i="4"/>
  <c r="H25" i="4"/>
  <c r="H47" i="4"/>
  <c r="H26" i="4"/>
  <c r="H4" i="4"/>
  <c r="H5" i="4"/>
  <c r="H6" i="4"/>
  <c r="H7" i="4"/>
  <c r="H8" i="4"/>
  <c r="H9" i="4"/>
  <c r="H10" i="4"/>
  <c r="H32" i="4"/>
  <c r="H54" i="4"/>
  <c r="H33" i="4"/>
  <c r="H55" i="4"/>
  <c r="H28" i="4"/>
  <c r="H50" i="4"/>
  <c r="H11" i="4"/>
  <c r="H12" i="4"/>
  <c r="H34" i="4"/>
  <c r="H56" i="4"/>
  <c r="H13" i="4"/>
  <c r="H35" i="4"/>
  <c r="H57" i="4"/>
  <c r="H14" i="4"/>
  <c r="H36" i="4"/>
  <c r="H58" i="4"/>
  <c r="H15" i="4"/>
  <c r="H59" i="4"/>
  <c r="H20" i="4"/>
  <c r="H42" i="4"/>
  <c r="H21" i="4"/>
  <c r="H27" i="4"/>
  <c r="H49" i="4"/>
  <c r="H51" i="4"/>
  <c r="H52" i="4"/>
  <c r="H31" i="4"/>
  <c r="H53" i="4"/>
  <c r="H16" i="4"/>
  <c r="H38" i="4"/>
  <c r="H60" i="4"/>
  <c r="H17" i="4"/>
  <c r="H39" i="4"/>
  <c r="H18" i="4"/>
  <c r="H40" i="4"/>
  <c r="B76" i="4"/>
  <c r="H19" i="4"/>
  <c r="H41" i="4"/>
  <c r="H43" i="4"/>
  <c r="H30" i="4"/>
  <c r="H29" i="4"/>
  <c r="H2" i="4"/>
  <c r="C15" i="8" l="1"/>
  <c r="E70" i="6"/>
  <c r="H67" i="4"/>
  <c r="H68" i="4" s="1"/>
  <c r="I68" i="4" s="1"/>
  <c r="B77" i="4"/>
  <c r="B78" i="4" s="1"/>
  <c r="C19" i="8" l="1"/>
  <c r="C18" i="7"/>
  <c r="C8" i="8" l="1"/>
  <c r="C19" i="7"/>
  <c r="C9" i="8" s="1"/>
</calcChain>
</file>

<file path=xl/sharedStrings.xml><?xml version="1.0" encoding="utf-8"?>
<sst xmlns="http://schemas.openxmlformats.org/spreadsheetml/2006/main" count="373" uniqueCount="279">
  <si>
    <t>Date</t>
  </si>
  <si>
    <t>Price</t>
  </si>
  <si>
    <t>Open</t>
  </si>
  <si>
    <t>High</t>
  </si>
  <si>
    <t>Low</t>
  </si>
  <si>
    <t>Vol.</t>
  </si>
  <si>
    <t>Change %</t>
  </si>
  <si>
    <t>8.51M</t>
  </si>
  <si>
    <t>9.69M</t>
  </si>
  <si>
    <t>25.15M</t>
  </si>
  <si>
    <t>97.48M</t>
  </si>
  <si>
    <t>13.65M</t>
  </si>
  <si>
    <t>12.98M</t>
  </si>
  <si>
    <t>38.14M</t>
  </si>
  <si>
    <t>40.22M</t>
  </si>
  <si>
    <t>15.13M</t>
  </si>
  <si>
    <t>25.54M</t>
  </si>
  <si>
    <t>13.70M</t>
  </si>
  <si>
    <t>35.32M</t>
  </si>
  <si>
    <t>37.42M</t>
  </si>
  <si>
    <t>73.23M</t>
  </si>
  <si>
    <t>14.43M</t>
  </si>
  <si>
    <t>28.75M</t>
  </si>
  <si>
    <t>82.29M</t>
  </si>
  <si>
    <t>45.98M</t>
  </si>
  <si>
    <t>50.78M</t>
  </si>
  <si>
    <t>45.82M</t>
  </si>
  <si>
    <t>26.69M</t>
  </si>
  <si>
    <t>59.83M</t>
  </si>
  <si>
    <t>75.13M</t>
  </si>
  <si>
    <t>59.32M</t>
  </si>
  <si>
    <t>147.01M</t>
  </si>
  <si>
    <t>41.74M</t>
  </si>
  <si>
    <t>20.85M</t>
  </si>
  <si>
    <t>11.52M</t>
  </si>
  <si>
    <t>17.62M</t>
  </si>
  <si>
    <t>14.97M</t>
  </si>
  <si>
    <t>45.13M</t>
  </si>
  <si>
    <t>80.52M</t>
  </si>
  <si>
    <t>14.50M</t>
  </si>
  <si>
    <t>53.41M</t>
  </si>
  <si>
    <t>14.93M</t>
  </si>
  <si>
    <t>11.39M</t>
  </si>
  <si>
    <t>7.01M</t>
  </si>
  <si>
    <t>5.96M</t>
  </si>
  <si>
    <t>6.48M</t>
  </si>
  <si>
    <t>9.39M</t>
  </si>
  <si>
    <t>9.98M</t>
  </si>
  <si>
    <t>9.51M</t>
  </si>
  <si>
    <t>11.70M</t>
  </si>
  <si>
    <t>8.87M</t>
  </si>
  <si>
    <t>7.29M</t>
  </si>
  <si>
    <t>5.68M</t>
  </si>
  <si>
    <t>3.52M</t>
  </si>
  <si>
    <t>3.91M</t>
  </si>
  <si>
    <t>4.45M</t>
  </si>
  <si>
    <t>8.94M</t>
  </si>
  <si>
    <t>8.03M</t>
  </si>
  <si>
    <t>9.25M</t>
  </si>
  <si>
    <t>5.53M</t>
  </si>
  <si>
    <t>7.75M</t>
  </si>
  <si>
    <t>20.36M</t>
  </si>
  <si>
    <t>75.61M</t>
  </si>
  <si>
    <t>50.40M</t>
  </si>
  <si>
    <t>58.84M</t>
  </si>
  <si>
    <t>42.81M</t>
  </si>
  <si>
    <t>23.51M</t>
  </si>
  <si>
    <t>5.37B</t>
  </si>
  <si>
    <t>5.50B</t>
  </si>
  <si>
    <t>6.24B</t>
  </si>
  <si>
    <t>5.98B</t>
  </si>
  <si>
    <t>5.87B</t>
  </si>
  <si>
    <t>6.28B</t>
  </si>
  <si>
    <t>7.06B</t>
  </si>
  <si>
    <t>8.55B</t>
  </si>
  <si>
    <t>7.66B</t>
  </si>
  <si>
    <t>5.65B</t>
  </si>
  <si>
    <t>6.46B</t>
  </si>
  <si>
    <t>5.45B</t>
  </si>
  <si>
    <t>5.89B</t>
  </si>
  <si>
    <t>6.33B</t>
  </si>
  <si>
    <t>6.16B</t>
  </si>
  <si>
    <t>7.09B</t>
  </si>
  <si>
    <t>7.75B</t>
  </si>
  <si>
    <t>6.71B</t>
  </si>
  <si>
    <t>6.74B</t>
  </si>
  <si>
    <t>6.73B</t>
  </si>
  <si>
    <t>6.82B</t>
  </si>
  <si>
    <t>6.12B</t>
  </si>
  <si>
    <t>4.42B</t>
  </si>
  <si>
    <t>4.25B</t>
  </si>
  <si>
    <t>5.67B</t>
  </si>
  <si>
    <t>6.25B</t>
  </si>
  <si>
    <t>5.80B</t>
  </si>
  <si>
    <t>5.14B</t>
  </si>
  <si>
    <t>5.74B</t>
  </si>
  <si>
    <t>4.46B</t>
  </si>
  <si>
    <t>5.62B</t>
  </si>
  <si>
    <t>5.69B</t>
  </si>
  <si>
    <t>5.63B</t>
  </si>
  <si>
    <t>4.74B</t>
  </si>
  <si>
    <t>5.26B</t>
  </si>
  <si>
    <t>4.54B</t>
  </si>
  <si>
    <t>6.90B</t>
  </si>
  <si>
    <t>5.59B</t>
  </si>
  <si>
    <t>5.48B</t>
  </si>
  <si>
    <t>5.51B</t>
  </si>
  <si>
    <t>6.34B</t>
  </si>
  <si>
    <t>5.66B</t>
  </si>
  <si>
    <t>7.96B</t>
  </si>
  <si>
    <t>5.44B</t>
  </si>
  <si>
    <t>5.85B</t>
  </si>
  <si>
    <t>7.65B</t>
  </si>
  <si>
    <t>6.96B</t>
  </si>
  <si>
    <t>6.35B</t>
  </si>
  <si>
    <t>6.00B</t>
  </si>
  <si>
    <t>8.08B</t>
  </si>
  <si>
    <t>10.27B</t>
  </si>
  <si>
    <t>9.64B</t>
  </si>
  <si>
    <t>11.36B</t>
  </si>
  <si>
    <t>14.31B</t>
  </si>
  <si>
    <t>13.02B</t>
  </si>
  <si>
    <t>Ex-Dividend Date</t>
  </si>
  <si>
    <t>Dividend</t>
  </si>
  <si>
    <t>Type</t>
  </si>
  <si>
    <t>Payment Date</t>
  </si>
  <si>
    <t>Yield</t>
  </si>
  <si>
    <t>Jun 13, 2025</t>
  </si>
  <si>
    <t>12M</t>
  </si>
  <si>
    <t>Jul 25, 2025</t>
  </si>
  <si>
    <t>Jun 14, 2024</t>
  </si>
  <si>
    <t>Jul 25, 2024</t>
  </si>
  <si>
    <t>Jul 07, 2023</t>
  </si>
  <si>
    <t>Aug 17, 2023</t>
  </si>
  <si>
    <t>Jul 14, 2022</t>
  </si>
  <si>
    <t>Aug 25, 2022</t>
  </si>
  <si>
    <t>Jun 24, 2021</t>
  </si>
  <si>
    <t>Aug 11, 2021</t>
  </si>
  <si>
    <t>Mar 26, 2020</t>
  </si>
  <si>
    <t>I</t>
  </si>
  <si>
    <t>Apr 18, 2020</t>
  </si>
  <si>
    <t>Jul 26, 2019</t>
  </si>
  <si>
    <t>Sep 05, 2019</t>
  </si>
  <si>
    <t>Simple Return (Ri) =[ Pt-P(t-1)/P(t-1)]</t>
  </si>
  <si>
    <t>Ri=Lognormal formula: LN(Pt/P(t-1)</t>
  </si>
  <si>
    <t>ARM (Monthly)</t>
  </si>
  <si>
    <t>GM (Monthly)</t>
  </si>
  <si>
    <t>Add 10</t>
  </si>
  <si>
    <t xml:space="preserve">Count </t>
  </si>
  <si>
    <t xml:space="preserve">Expected Return </t>
  </si>
  <si>
    <t>sum of (Ri*Pi)</t>
  </si>
  <si>
    <t>Probability (Pi)</t>
  </si>
  <si>
    <t>Er = Sum of ( Ri*Pi)</t>
  </si>
  <si>
    <t>Variance= (Ri-Er)^2)*Pi</t>
  </si>
  <si>
    <t>Risk (volatility of not achieving expected return)</t>
  </si>
  <si>
    <t>sqtr of Variance</t>
  </si>
  <si>
    <t>Coefficient of Cor</t>
  </si>
  <si>
    <t>Variance = sum of[(Ri-ER)^2*Pi]</t>
  </si>
  <si>
    <t>Stock Price Prediction based on return</t>
  </si>
  <si>
    <t xml:space="preserve">Stock price prediction based on risk and return </t>
  </si>
  <si>
    <t>Price Rang</t>
  </si>
  <si>
    <t>between 570.512 to 435.909</t>
  </si>
  <si>
    <t>ATGL (Monthly)</t>
  </si>
  <si>
    <t>Rm = Ln return</t>
  </si>
  <si>
    <t>Er = Rf+(Rm-Rf)*Beta</t>
  </si>
  <si>
    <t>ATGL  (Ri)</t>
  </si>
  <si>
    <t>CAPM = Er=Rf+(Rm-Rf)Beta</t>
  </si>
  <si>
    <t>Er</t>
  </si>
  <si>
    <t>Expected return</t>
  </si>
  <si>
    <t>Rf</t>
  </si>
  <si>
    <t>Risk free rate of return</t>
  </si>
  <si>
    <t>10 years govt. bonds rate</t>
  </si>
  <si>
    <t>Rm</t>
  </si>
  <si>
    <t>Market return (index rate of return)</t>
  </si>
  <si>
    <t>Rm-Rf</t>
  </si>
  <si>
    <t>Risk premium</t>
  </si>
  <si>
    <t>Beta</t>
  </si>
  <si>
    <t>Equity coefficient</t>
  </si>
  <si>
    <t>Linear Reggression = Y = a+bx</t>
  </si>
  <si>
    <t>https://tradingeconomics.com/india/government-bond-yield</t>
  </si>
  <si>
    <t>Rf =10yrs govt bond = 6.623% pa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</si>
  <si>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</si>
  <si>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</si>
  <si>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</si>
  <si>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</si>
  <si>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</si>
  <si>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</si>
  <si>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</si>
  <si>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</si>
  <si>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</si>
  <si>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</si>
  <si>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</si>
  <si>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</si>
  <si>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</si>
  <si>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</si>
  <si>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</si>
  <si>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</si>
  <si>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</si>
  <si>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</si>
  <si>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</si>
  <si>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</si>
  <si>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</si>
  <si>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</si>
  <si>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</si>
  <si>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</si>
  <si>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</si>
  <si>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Y</t>
  </si>
  <si>
    <t>Residuals</t>
  </si>
  <si>
    <t>Er (Monthly)</t>
  </si>
  <si>
    <t>India 10Y Bond Yield</t>
  </si>
  <si>
    <t xml:space="preserve">CAPM Summary </t>
  </si>
  <si>
    <t>Definitions</t>
  </si>
  <si>
    <t>Monthly Rm (avg)</t>
  </si>
  <si>
    <t>Annual Rm</t>
  </si>
  <si>
    <t>Monthly Rf</t>
  </si>
  <si>
    <t>Annual Rf</t>
  </si>
  <si>
    <t>ke (annual CAPM)</t>
  </si>
  <si>
    <t>𝑬𝒙𝒑𝒆𝒄𝒕𝒆𝒅𝒓𝒆𝒕𝒖𝒓𝒏𝒐𝒏𝒆𝒒𝒖𝒊𝒕𝒚=𝒌𝒆= 𝒓𝒇+ β 𝒓𝒎 𝒓𝒇</t>
  </si>
  <si>
    <t>References used to perform the task in tis file</t>
  </si>
  <si>
    <t>Label</t>
  </si>
  <si>
    <t>Latest Dividend (D₀)</t>
  </si>
  <si>
    <t>Growth Rate (g)</t>
  </si>
  <si>
    <t>Next Dividend (D₁)</t>
  </si>
  <si>
    <t>Required Return (kₑ)</t>
  </si>
  <si>
    <t>DDM for infinite period returns</t>
  </si>
  <si>
    <t>Value = PV of all any dividends + PV of the selling price</t>
  </si>
  <si>
    <t>This is also called the constant growth DDM</t>
  </si>
  <si>
    <t>Assumes an estimation of future dividend payment for an infinite period</t>
  </si>
  <si>
    <r>
      <t>P</t>
    </r>
    <r>
      <rPr>
        <b/>
        <sz val="8"/>
        <color theme="1"/>
        <rFont val="DM Sans"/>
      </rPr>
      <t>0</t>
    </r>
  </si>
  <si>
    <t>D1 / (Ke-g)</t>
  </si>
  <si>
    <t>D1 = D0 X (1+g)</t>
  </si>
  <si>
    <t>Ke</t>
  </si>
  <si>
    <t>required return (CAPM output, annual)</t>
  </si>
  <si>
    <t>growth rate (assume 0 because dividends constant)</t>
  </si>
  <si>
    <t>g</t>
  </si>
  <si>
    <r>
      <rPr>
        <sz val="12"/>
        <color theme="1"/>
        <rFont val="DM Sans"/>
      </rPr>
      <t>D</t>
    </r>
    <r>
      <rPr>
        <sz val="8"/>
        <color theme="1"/>
        <rFont val="DM Sans"/>
      </rPr>
      <t>1</t>
    </r>
    <r>
      <rPr>
        <sz val="10"/>
        <color theme="1"/>
        <rFont val="DM Sans"/>
        <family val="2"/>
      </rPr>
      <t xml:space="preserve"> =</t>
    </r>
    <r>
      <rPr>
        <sz val="12"/>
        <color theme="1"/>
        <rFont val="DM Sans"/>
      </rPr>
      <t xml:space="preserve"> D</t>
    </r>
    <r>
      <rPr>
        <sz val="8"/>
        <color theme="1"/>
        <rFont val="DM Sans"/>
      </rPr>
      <t>0</t>
    </r>
    <r>
      <rPr>
        <sz val="10"/>
        <color theme="1"/>
        <rFont val="DM Sans"/>
        <family val="2"/>
      </rPr>
      <t xml:space="preserve"> X (1+g)</t>
    </r>
  </si>
  <si>
    <t>GM</t>
  </si>
  <si>
    <t>constant for last 5 years</t>
  </si>
  <si>
    <t>Value</t>
  </si>
  <si>
    <t>g = (Old Dividend / Latest Dividend ) - 1</t>
  </si>
  <si>
    <t>P0 = D1 / (Ke-g)</t>
  </si>
  <si>
    <t>CAPM output</t>
  </si>
  <si>
    <t>g ↓ \ kₑ →</t>
  </si>
  <si>
    <t>20%</t>
  </si>
  <si>
    <t>22%</t>
  </si>
  <si>
    <t>24%</t>
  </si>
  <si>
    <t>26%</t>
  </si>
  <si>
    <t>28%</t>
  </si>
  <si>
    <t>DDM Valuation: Price (P₀)</t>
  </si>
  <si>
    <t>Interpret the Results</t>
  </si>
  <si>
    <t>Observation:</t>
  </si>
  <si>
    <t>DDM assumes value comes only from dividends, so it undervalues high-growth, low-dividend stocks.</t>
  </si>
  <si>
    <t>Market price reflects growth expectations and retained earnings, which DDM ignores.</t>
  </si>
  <si>
    <t>Current Market Price: 564.15 INR (as of today’s close on 08Jan26).</t>
  </si>
  <si>
    <t>DDM Valuation: Base case (g = 0%, ke  24.93%) gives 1.00 INR, even optimistic scenarios (g = 4%, ke = 20%) only reach 1.563 INR.</t>
  </si>
  <si>
    <t>DDM valuation is far below the market price because Adani Total Gas pays negligible dividends (0.25 INR annually).</t>
  </si>
  <si>
    <t xml:space="preserve">DDM </t>
  </si>
  <si>
    <t>CAPM</t>
  </si>
  <si>
    <t>Volume (Million)</t>
  </si>
  <si>
    <t>Volume M (Ave)</t>
  </si>
  <si>
    <t>Price (Ave)</t>
  </si>
  <si>
    <t>Year</t>
  </si>
  <si>
    <t>Stock excess return = Ri − Rf</t>
  </si>
  <si>
    <t>Market excess return = Rm − Rf</t>
  </si>
  <si>
    <t>SUMMARY OUTPUT</t>
  </si>
  <si>
    <t>X Variable 1</t>
  </si>
  <si>
    <t>5 Year</t>
  </si>
  <si>
    <t>3 Year</t>
  </si>
  <si>
    <t>Horizon</t>
  </si>
  <si>
    <t>Beta (β)</t>
  </si>
  <si>
    <t>R²</t>
  </si>
  <si>
    <t>3 Years</t>
  </si>
  <si>
    <t>−0.07098</t>
  </si>
  <si>
    <t>5 Years</t>
  </si>
  <si>
    <t>−0.01405</t>
  </si>
  <si>
    <t>kk</t>
  </si>
  <si>
    <t>https://www.investing.com/equities/adani-gas</t>
  </si>
  <si>
    <t>Data Source</t>
  </si>
  <si>
    <t>Data Downloaded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</si>
</sst>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"/>
    <numFmt numFmtId="165" formatCode="0.000"/>
    <numFmt numFmtId="166" formatCode="0.000%"/>
    <numFmt numFmtId="167" formatCode="[$-407]mmmm\ yy;@"/>
    <numFmt numFmtId="168" formatCode="0.0000%"/>
  </numFmts>
  <fonts count="46">
    <font>
      <sz val="10"/>
      <color theme="1"/>
      <name val="DM Sans"/>
      <family val="2"/>
    </font>
    <font>
      <sz val="10"/>
      <color theme="1"/>
      <name val="DM Sans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DM Sans"/>
      <family val="2"/>
    </font>
    <font>
      <b/>
      <sz val="13"/>
      <color theme="3"/>
      <name val="DM Sans"/>
      <family val="2"/>
    </font>
    <font>
      <b/>
      <sz val="11"/>
      <color theme="3"/>
      <name val="DM Sans"/>
      <family val="2"/>
    </font>
    <font>
      <sz val="10"/>
      <color rgb="FF006100"/>
      <name val="DM Sans"/>
      <family val="2"/>
    </font>
    <font>
      <sz val="10"/>
      <color rgb="FF9C0006"/>
      <name val="DM Sans"/>
      <family val="2"/>
    </font>
    <font>
      <sz val="10"/>
      <color rgb="FF9C5700"/>
      <name val="DM Sans"/>
      <family val="2"/>
    </font>
    <font>
      <sz val="10"/>
      <color rgb="FF3F3F76"/>
      <name val="DM Sans"/>
      <family val="2"/>
    </font>
    <font>
      <b/>
      <sz val="10"/>
      <color rgb="FF3F3F3F"/>
      <name val="DM Sans"/>
      <family val="2"/>
    </font>
    <font>
      <b/>
      <sz val="10"/>
      <color rgb="FFFA7D00"/>
      <name val="DM Sans"/>
      <family val="2"/>
    </font>
    <font>
      <sz val="10"/>
      <color rgb="FFFA7D00"/>
      <name val="DM Sans"/>
      <family val="2"/>
    </font>
    <font>
      <b/>
      <sz val="10"/>
      <color theme="0"/>
      <name val="DM Sans"/>
      <family val="2"/>
    </font>
    <font>
      <sz val="10"/>
      <color rgb="FFFF0000"/>
      <name val="DM Sans"/>
      <family val="2"/>
    </font>
    <font>
      <i/>
      <sz val="10"/>
      <color rgb="FF7F7F7F"/>
      <name val="DM Sans"/>
      <family val="2"/>
    </font>
    <font>
      <b/>
      <sz val="10"/>
      <color theme="1"/>
      <name val="DM Sans"/>
      <family val="2"/>
    </font>
    <font>
      <sz val="10"/>
      <color theme="0"/>
      <name val="DM Sans"/>
      <family val="2"/>
    </font>
    <font>
      <sz val="11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0"/>
      <color theme="10"/>
      <name val="DM Sans"/>
      <family val="2"/>
    </font>
    <font>
      <i/>
      <sz val="10"/>
      <color theme="1"/>
      <name val="DM Sans"/>
      <family val="2"/>
    </font>
    <font>
      <b/>
      <sz val="10"/>
      <color theme="1"/>
      <name val="DM Sans"/>
    </font>
    <font>
      <b/>
      <sz val="12"/>
      <color theme="1"/>
      <name val="DM Sans"/>
    </font>
    <font>
      <b/>
      <sz val="12"/>
      <color rgb="FF7030A0"/>
      <name val="DM Sans"/>
    </font>
    <font>
      <sz val="8"/>
      <color theme="1"/>
      <name val="Segoe UI"/>
      <family val="2"/>
    </font>
    <font>
      <sz val="16"/>
      <color theme="1"/>
      <name val="Aptos Narrow"/>
      <family val="2"/>
      <scheme val="minor"/>
    </font>
    <font>
      <sz val="16"/>
      <color theme="1"/>
      <name val="DM Sans"/>
      <family val="2"/>
    </font>
    <font>
      <b/>
      <sz val="14"/>
      <color theme="1"/>
      <name val="DM Sans"/>
    </font>
    <font>
      <sz val="11"/>
      <color rgb="FF232526"/>
      <name val="Calibri"/>
      <family val="2"/>
    </font>
    <font>
      <sz val="11"/>
      <color rgb="FF232526"/>
      <name val="Calibri"/>
      <family val="2"/>
    </font>
    <font>
      <sz val="11"/>
      <color rgb="FF5B616E"/>
      <name val="Calibri"/>
      <family val="2"/>
    </font>
    <font>
      <b/>
      <sz val="18"/>
      <color theme="1"/>
      <name val="DM Sans"/>
    </font>
    <font>
      <b/>
      <sz val="10"/>
      <color theme="1"/>
      <name val="Segoe UI"/>
      <family val="2"/>
    </font>
    <font>
      <sz val="10"/>
      <color theme="1"/>
      <name val="Arial Unicode MS"/>
    </font>
    <font>
      <b/>
      <sz val="10"/>
      <color theme="0"/>
      <name val="Segoe UI"/>
      <family val="2"/>
    </font>
    <font>
      <b/>
      <sz val="8"/>
      <color theme="1"/>
      <name val="DM Sans"/>
    </font>
    <font>
      <sz val="8"/>
      <color theme="1"/>
      <name val="DM Sans"/>
    </font>
    <font>
      <sz val="12"/>
      <color theme="1"/>
      <name val="DM Sans"/>
    </font>
    <font>
      <sz val="10"/>
      <color theme="1"/>
      <name val="DM Sans"/>
    </font>
    <font>
      <b/>
      <sz val="10"/>
      <name val="Segoe UI"/>
      <family val="2"/>
    </font>
    <font>
      <sz val="10"/>
      <name val="Segoe UI"/>
      <family val="2"/>
    </font>
    <font>
      <sz val="10"/>
      <name val="DM Sans"/>
      <family val="2"/>
    </font>
    <font>
      <b/>
      <sz val="10"/>
      <color theme="0"/>
      <name val="DM Sans"/>
    </font>
    <font>
      <sz val="10"/>
      <color theme="1"/>
      <name val="Segoe UI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/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/>
      <bottom style="medium">
        <color rgb="FFE6E6E6"/>
      </bottom>
      <diagonal/>
    </border>
    <border>
      <left style="medium">
        <color rgb="FFE6E6E6"/>
      </left>
      <right/>
      <top/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/>
      <diagonal/>
    </border>
    <border>
      <left style="medium">
        <color rgb="FFE6E6E6"/>
      </left>
      <right/>
      <top style="medium">
        <color rgb="FFE6E6E6"/>
      </top>
      <bottom/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21" fillId="0" borderId="0" applyNumberFormat="0" applyFill="0" applyBorder="0" applyAlignment="0" applyProtection="0"/>
  </cellStyleXfs>
  <cellXfs count="118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18" fillId="0" borderId="0" xfId="43"/>
    <xf numFmtId="14" fontId="18" fillId="0" borderId="0" xfId="43" applyNumberFormat="1"/>
    <xf numFmtId="4" fontId="18" fillId="0" borderId="0" xfId="43" applyNumberFormat="1"/>
    <xf numFmtId="10" fontId="18" fillId="0" borderId="0" xfId="43" applyNumberFormat="1"/>
    <xf numFmtId="0" fontId="0" fillId="0" borderId="0" xfId="0" applyAlignment="1">
      <alignment horizontal="center" vertical="center" wrapText="1"/>
    </xf>
    <xf numFmtId="9" fontId="0" fillId="0" borderId="0" xfId="42" applyFont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10" fontId="0" fillId="0" borderId="0" xfId="42" applyNumberFormat="1" applyFon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166" fontId="0" fillId="0" borderId="0" xfId="42" applyNumberFormat="1" applyFont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2" fontId="0" fillId="0" borderId="0" xfId="0" applyNumberFormat="1"/>
    <xf numFmtId="14" fontId="0" fillId="0" borderId="0" xfId="0" applyNumberFormat="1"/>
    <xf numFmtId="165" fontId="0" fillId="0" borderId="0" xfId="0" applyNumberFormat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horizontal="center" vertical="center" wrapText="1"/>
    </xf>
    <xf numFmtId="166" fontId="18" fillId="0" borderId="0" xfId="42" applyNumberFormat="1" applyFont="1" applyAlignment="1">
      <alignment horizontal="center" vertical="center"/>
    </xf>
    <xf numFmtId="0" fontId="20" fillId="0" borderId="0" xfId="0" applyFont="1"/>
    <xf numFmtId="0" fontId="18" fillId="0" borderId="0" xfId="0" applyFont="1"/>
    <xf numFmtId="9" fontId="0" fillId="0" borderId="0" xfId="0" applyNumberFormat="1" applyAlignment="1">
      <alignment horizontal="center" vertical="center"/>
    </xf>
    <xf numFmtId="0" fontId="21" fillId="0" borderId="0" xfId="44"/>
    <xf numFmtId="9" fontId="0" fillId="0" borderId="0" xfId="42" applyFont="1" applyAlignment="1">
      <alignment horizontal="center" vertical="center"/>
    </xf>
    <xf numFmtId="0" fontId="0" fillId="0" borderId="10" xfId="0" applyBorder="1"/>
    <xf numFmtId="0" fontId="22" fillId="0" borderId="12" xfId="0" applyFont="1" applyBorder="1" applyAlignment="1">
      <alignment horizontal="center"/>
    </xf>
    <xf numFmtId="0" fontId="22" fillId="0" borderId="12" xfId="0" applyFont="1" applyBorder="1" applyAlignment="1">
      <alignment horizontal="centerContinuous"/>
    </xf>
    <xf numFmtId="0" fontId="24" fillId="0" borderId="10" xfId="0" applyFont="1" applyBorder="1"/>
    <xf numFmtId="0" fontId="24" fillId="0" borderId="10" xfId="0" applyFont="1" applyBorder="1" applyAlignment="1">
      <alignment horizontal="center" vertical="center"/>
    </xf>
    <xf numFmtId="10" fontId="24" fillId="0" borderId="0" xfId="0" applyNumberFormat="1" applyFont="1" applyAlignment="1">
      <alignment horizontal="center" vertical="center"/>
    </xf>
    <xf numFmtId="15" fontId="0" fillId="0" borderId="0" xfId="0" applyNumberFormat="1"/>
    <xf numFmtId="10" fontId="0" fillId="0" borderId="0" xfId="42" applyNumberFormat="1" applyFont="1" applyAlignment="1">
      <alignment horizontal="center" vertical="center"/>
    </xf>
    <xf numFmtId="0" fontId="22" fillId="0" borderId="0" xfId="0" applyFont="1" applyAlignment="1">
      <alignment horizontal="centerContinuous"/>
    </xf>
    <xf numFmtId="0" fontId="22" fillId="0" borderId="0" xfId="0" applyFont="1" applyAlignment="1">
      <alignment horizontal="center"/>
    </xf>
    <xf numFmtId="0" fontId="25" fillId="0" borderId="0" xfId="0" applyFont="1"/>
    <xf numFmtId="0" fontId="26" fillId="0" borderId="0" xfId="0" applyFont="1" applyAlignment="1">
      <alignment vertical="center"/>
    </xf>
    <xf numFmtId="0" fontId="28" fillId="0" borderId="0" xfId="0" applyFont="1"/>
    <xf numFmtId="0" fontId="23" fillId="0" borderId="0" xfId="0" applyFont="1" applyAlignment="1">
      <alignment horizontal="center" vertical="center"/>
    </xf>
    <xf numFmtId="0" fontId="28" fillId="0" borderId="13" xfId="0" applyFont="1" applyBorder="1"/>
    <xf numFmtId="0" fontId="0" fillId="0" borderId="11" xfId="0" applyBorder="1"/>
    <xf numFmtId="166" fontId="29" fillId="0" borderId="14" xfId="0" applyNumberFormat="1" applyFont="1" applyBorder="1" applyAlignment="1">
      <alignment horizontal="center" vertical="center"/>
    </xf>
    <xf numFmtId="0" fontId="30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10" fontId="31" fillId="0" borderId="0" xfId="0" applyNumberFormat="1" applyFont="1" applyAlignment="1">
      <alignment horizontal="center" vertical="center" wrapText="1" readingOrder="1"/>
    </xf>
    <xf numFmtId="0" fontId="33" fillId="0" borderId="0" xfId="0" applyFont="1"/>
    <xf numFmtId="0" fontId="24" fillId="0" borderId="0" xfId="0" applyFont="1"/>
    <xf numFmtId="0" fontId="35" fillId="0" borderId="17" xfId="0" applyFont="1" applyBorder="1" applyAlignment="1">
      <alignment horizontal="center" vertical="center" wrapText="1"/>
    </xf>
    <xf numFmtId="0" fontId="34" fillId="0" borderId="18" xfId="0" applyFont="1" applyBorder="1" applyAlignment="1">
      <alignment horizontal="center" vertical="center" wrapText="1"/>
    </xf>
    <xf numFmtId="0" fontId="34" fillId="0" borderId="19" xfId="0" applyFont="1" applyBorder="1" applyAlignment="1">
      <alignment horizontal="center" vertical="center" wrapText="1"/>
    </xf>
    <xf numFmtId="0" fontId="40" fillId="0" borderId="0" xfId="0" applyFont="1" applyAlignment="1">
      <alignment horizontal="center" vertical="center"/>
    </xf>
    <xf numFmtId="10" fontId="35" fillId="0" borderId="17" xfId="42" applyNumberFormat="1" applyFont="1" applyBorder="1" applyAlignment="1">
      <alignment horizontal="center" vertical="center" wrapText="1"/>
    </xf>
    <xf numFmtId="2" fontId="35" fillId="0" borderId="21" xfId="0" applyNumberFormat="1" applyFont="1" applyBorder="1" applyAlignment="1">
      <alignment horizontal="center" vertical="center" wrapText="1"/>
    </xf>
    <xf numFmtId="9" fontId="41" fillId="0" borderId="15" xfId="0" applyNumberFormat="1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36" fillId="0" borderId="22" xfId="0" applyFont="1" applyBorder="1" applyAlignment="1">
      <alignment horizontal="center" vertical="center" wrapText="1"/>
    </xf>
    <xf numFmtId="9" fontId="36" fillId="0" borderId="22" xfId="0" applyNumberFormat="1" applyFont="1" applyBorder="1" applyAlignment="1">
      <alignment horizontal="center" vertical="center" wrapText="1"/>
    </xf>
    <xf numFmtId="165" fontId="42" fillId="0" borderId="15" xfId="0" applyNumberFormat="1" applyFont="1" applyBorder="1" applyAlignment="1">
      <alignment horizontal="center" vertical="center" wrapText="1"/>
    </xf>
    <xf numFmtId="0" fontId="34" fillId="0" borderId="16" xfId="0" applyFont="1" applyBorder="1" applyAlignment="1">
      <alignment horizontal="center" vertical="center" wrapText="1"/>
    </xf>
    <xf numFmtId="0" fontId="34" fillId="0" borderId="20" xfId="0" applyFont="1" applyBorder="1" applyAlignment="1">
      <alignment horizontal="center" vertical="center" wrapText="1"/>
    </xf>
    <xf numFmtId="0" fontId="23" fillId="0" borderId="0" xfId="0" applyFont="1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0" fontId="0" fillId="0" borderId="14" xfId="42" applyNumberFormat="1" applyFont="1" applyBorder="1" applyAlignment="1">
      <alignment horizontal="center" vertical="center"/>
    </xf>
    <xf numFmtId="165" fontId="0" fillId="0" borderId="14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23" fillId="35" borderId="13" xfId="0" applyFont="1" applyFill="1" applyBorder="1" applyAlignment="1">
      <alignment horizontal="center" vertical="center"/>
    </xf>
    <xf numFmtId="0" fontId="23" fillId="35" borderId="14" xfId="0" applyFont="1" applyFill="1" applyBorder="1" applyAlignment="1">
      <alignment horizontal="center" vertical="center"/>
    </xf>
    <xf numFmtId="0" fontId="0" fillId="0" borderId="27" xfId="0" applyBorder="1"/>
    <xf numFmtId="166" fontId="29" fillId="0" borderId="25" xfId="0" applyNumberFormat="1" applyFont="1" applyBorder="1" applyAlignment="1">
      <alignment horizontal="center" vertical="center"/>
    </xf>
    <xf numFmtId="0" fontId="0" fillId="0" borderId="28" xfId="0" applyBorder="1"/>
    <xf numFmtId="166" fontId="29" fillId="0" borderId="26" xfId="0" applyNumberFormat="1" applyFont="1" applyBorder="1" applyAlignment="1">
      <alignment horizontal="center" vertical="center"/>
    </xf>
    <xf numFmtId="165" fontId="29" fillId="0" borderId="14" xfId="0" applyNumberFormat="1" applyFont="1" applyBorder="1" applyAlignment="1">
      <alignment horizontal="center" vertical="center"/>
    </xf>
    <xf numFmtId="10" fontId="0" fillId="0" borderId="26" xfId="42" applyNumberFormat="1" applyFont="1" applyBorder="1" applyAlignment="1">
      <alignment horizontal="center" vertical="center"/>
    </xf>
    <xf numFmtId="14" fontId="0" fillId="36" borderId="0" xfId="0" applyNumberFormat="1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14" fontId="0" fillId="37" borderId="0" xfId="0" applyNumberFormat="1" applyFill="1" applyAlignment="1">
      <alignment horizontal="center" vertical="center"/>
    </xf>
    <xf numFmtId="0" fontId="0" fillId="37" borderId="0" xfId="0" applyFill="1" applyAlignment="1">
      <alignment horizontal="center" vertical="center"/>
    </xf>
    <xf numFmtId="0" fontId="17" fillId="34" borderId="0" xfId="0" applyFont="1" applyFill="1" applyAlignment="1">
      <alignment horizontal="center" vertical="center"/>
    </xf>
    <xf numFmtId="0" fontId="28" fillId="0" borderId="24" xfId="0" applyFont="1" applyBorder="1"/>
    <xf numFmtId="0" fontId="28" fillId="0" borderId="23" xfId="0" applyFont="1" applyBorder="1"/>
    <xf numFmtId="0" fontId="17" fillId="34" borderId="0" xfId="0" applyFont="1" applyFill="1" applyAlignment="1">
      <alignment horizontal="center" vertical="center" wrapText="1"/>
    </xf>
    <xf numFmtId="168" fontId="0" fillId="0" borderId="0" xfId="42" applyNumberFormat="1" applyFon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0" fillId="0" borderId="33" xfId="0" applyBorder="1"/>
    <xf numFmtId="0" fontId="0" fillId="0" borderId="34" xfId="0" applyBorder="1"/>
    <xf numFmtId="0" fontId="22" fillId="0" borderId="35" xfId="0" applyFont="1" applyBorder="1" applyAlignment="1">
      <alignment horizontal="centerContinuous"/>
    </xf>
    <xf numFmtId="0" fontId="0" fillId="0" borderId="36" xfId="0" applyBorder="1"/>
    <xf numFmtId="0" fontId="22" fillId="0" borderId="35" xfId="0" applyFont="1" applyBorder="1" applyAlignment="1">
      <alignment horizontal="center"/>
    </xf>
    <xf numFmtId="0" fontId="22" fillId="0" borderId="37" xfId="0" applyFont="1" applyBorder="1" applyAlignment="1">
      <alignment horizontal="center"/>
    </xf>
    <xf numFmtId="0" fontId="0" fillId="0" borderId="38" xfId="0" applyBorder="1"/>
    <xf numFmtId="168" fontId="0" fillId="33" borderId="0" xfId="42" applyNumberFormat="1" applyFont="1" applyFill="1" applyAlignment="1">
      <alignment horizontal="center" vertical="center"/>
    </xf>
    <xf numFmtId="168" fontId="0" fillId="33" borderId="0" xfId="0" applyNumberFormat="1" applyFill="1" applyAlignment="1">
      <alignment horizontal="center" vertical="center"/>
    </xf>
    <xf numFmtId="0" fontId="45" fillId="0" borderId="29" xfId="0" applyFont="1" applyBorder="1" applyAlignment="1">
      <alignment horizontal="center" vertical="center" wrapText="1"/>
    </xf>
    <xf numFmtId="167" fontId="0" fillId="0" borderId="13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7" fillId="34" borderId="24" xfId="0" applyFont="1" applyFill="1" applyBorder="1" applyAlignment="1">
      <alignment horizontal="center" vertical="center"/>
    </xf>
    <xf numFmtId="0" fontId="17" fillId="34" borderId="27" xfId="0" applyFont="1" applyFill="1" applyBorder="1" applyAlignment="1">
      <alignment horizontal="center" vertical="center"/>
    </xf>
    <xf numFmtId="0" fontId="17" fillId="34" borderId="25" xfId="0" applyFont="1" applyFill="1" applyBorder="1" applyAlignment="1">
      <alignment horizontal="center" vertical="center"/>
    </xf>
    <xf numFmtId="0" fontId="44" fillId="34" borderId="24" xfId="0" applyFont="1" applyFill="1" applyBorder="1" applyAlignment="1">
      <alignment horizontal="center" vertical="center"/>
    </xf>
    <xf numFmtId="0" fontId="44" fillId="34" borderId="25" xfId="0" applyFont="1" applyFill="1" applyBorder="1" applyAlignment="1">
      <alignment horizontal="center" vertical="center"/>
    </xf>
    <xf numFmtId="0" fontId="24" fillId="35" borderId="31" xfId="0" applyFont="1" applyFill="1" applyBorder="1" applyAlignment="1">
      <alignment horizontal="center" vertical="center"/>
    </xf>
    <xf numFmtId="0" fontId="24" fillId="35" borderId="30" xfId="0" applyFont="1" applyFill="1" applyBorder="1" applyAlignment="1">
      <alignment horizontal="center" vertical="center"/>
    </xf>
    <xf numFmtId="0" fontId="24" fillId="35" borderId="32" xfId="0" applyFont="1" applyFill="1" applyBorder="1" applyAlignment="1">
      <alignment horizontal="center" vertical="center"/>
    </xf>
    <xf numFmtId="0" fontId="24" fillId="33" borderId="31" xfId="0" applyFont="1" applyFill="1" applyBorder="1" applyAlignment="1">
      <alignment horizontal="center" vertical="center"/>
    </xf>
    <xf numFmtId="0" fontId="24" fillId="33" borderId="30" xfId="0" applyFont="1" applyFill="1" applyBorder="1" applyAlignment="1">
      <alignment horizontal="center" vertical="center"/>
    </xf>
    <xf numFmtId="0" fontId="24" fillId="33" borderId="32" xfId="0" applyFont="1" applyFill="1" applyBorder="1" applyAlignment="1">
      <alignment horizontal="center" vertical="center"/>
    </xf>
    <xf numFmtId="0" fontId="27" fillId="33" borderId="13" xfId="0" applyFont="1" applyFill="1" applyBorder="1" applyAlignment="1">
      <alignment horizontal="center"/>
    </xf>
    <xf numFmtId="0" fontId="27" fillId="33" borderId="11" xfId="0" applyFont="1" applyFill="1" applyBorder="1" applyAlignment="1">
      <alignment horizontal="center"/>
    </xf>
    <xf numFmtId="0" fontId="27" fillId="33" borderId="14" xfId="0" applyFont="1" applyFill="1" applyBorder="1" applyAlignment="1">
      <alignment horizontal="center"/>
    </xf>
    <xf numFmtId="15" fontId="18" fillId="0" borderId="0" xfId="43" applyNumberFormat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4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 xr:uid="{D38F5511-9577-446E-B2D4-A5E17235F41B}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32526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32526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5B616E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32526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32526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32526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M Sans"/>
        <family val="2"/>
        <scheme val="none"/>
      </font>
      <numFmt numFmtId="14" formatCode="0.0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0.000%"/>
      <alignment horizontal="center" vertical="center" textRotation="0" wrapText="0" indent="0" justifyLastLine="0" shrinkToFit="0" readingOrder="0"/>
    </dxf>
    <dxf>
      <numFmt numFmtId="4" formatCode="#,##0.0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</border>
    </dxf>
    <dxf>
      <border outline="0">
        <top style="medium">
          <color rgb="FFE6E6E6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numFmt numFmtId="13" formatCode="0%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border outline="0">
        <bottom style="medium">
          <color rgb="FFE6E6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egoe UI"/>
        <family val="2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E6E6E6"/>
        </left>
        <right style="medium">
          <color rgb="FFE6E6E6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/>
        <right/>
        <top style="medium">
          <color rgb="FFE6E6E6"/>
        </top>
        <bottom style="medium">
          <color rgb="FFE6E6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E6E6E6"/>
        </right>
        <top style="medium">
          <color rgb="FFE6E6E6"/>
        </top>
        <bottom style="medium">
          <color rgb="FFE6E6E6"/>
        </bottom>
      </border>
    </dxf>
    <dxf>
      <border outline="0">
        <top style="medium">
          <color rgb="FFE6E6E6"/>
        </top>
      </border>
    </dxf>
    <dxf>
      <border outline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</border>
    </dxf>
    <dxf>
      <border outline="0">
        <bottom style="medium">
          <color rgb="FFE6E6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E6E6E6"/>
        </left>
        <right style="medium">
          <color rgb="FFE6E6E6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Summary!$C$23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Summary!$C$24:$C$83</c:f>
              <c:numCache>
                <c:formatCode>General</c:formatCode>
                <c:ptCount val="60"/>
                <c:pt idx="0">
                  <c:v>566.70000000000005</c:v>
                </c:pt>
                <c:pt idx="1">
                  <c:v>606.65</c:v>
                </c:pt>
                <c:pt idx="2">
                  <c:v>631.6</c:v>
                </c:pt>
                <c:pt idx="3">
                  <c:v>625.29999999999995</c:v>
                </c:pt>
                <c:pt idx="4">
                  <c:v>591.1</c:v>
                </c:pt>
                <c:pt idx="5">
                  <c:v>604.1</c:v>
                </c:pt>
                <c:pt idx="6">
                  <c:v>675.75</c:v>
                </c:pt>
                <c:pt idx="7">
                  <c:v>683.75</c:v>
                </c:pt>
                <c:pt idx="8">
                  <c:v>600.20000000000005</c:v>
                </c:pt>
                <c:pt idx="9">
                  <c:v>602.6</c:v>
                </c:pt>
                <c:pt idx="10">
                  <c:v>557.15</c:v>
                </c:pt>
                <c:pt idx="11">
                  <c:v>643.1</c:v>
                </c:pt>
                <c:pt idx="12">
                  <c:v>761.05</c:v>
                </c:pt>
                <c:pt idx="13">
                  <c:v>812.35</c:v>
                </c:pt>
                <c:pt idx="14">
                  <c:v>718.35</c:v>
                </c:pt>
                <c:pt idx="15">
                  <c:v>786.5</c:v>
                </c:pt>
                <c:pt idx="16">
                  <c:v>830.35</c:v>
                </c:pt>
                <c:pt idx="17">
                  <c:v>895.55</c:v>
                </c:pt>
                <c:pt idx="18">
                  <c:v>896</c:v>
                </c:pt>
                <c:pt idx="19">
                  <c:v>1039.3</c:v>
                </c:pt>
                <c:pt idx="20">
                  <c:v>929.1</c:v>
                </c:pt>
                <c:pt idx="21">
                  <c:v>926.55</c:v>
                </c:pt>
                <c:pt idx="22">
                  <c:v>1025.6500000000001</c:v>
                </c:pt>
                <c:pt idx="23">
                  <c:v>1012.35</c:v>
                </c:pt>
                <c:pt idx="24">
                  <c:v>987.95</c:v>
                </c:pt>
                <c:pt idx="25">
                  <c:v>708.8</c:v>
                </c:pt>
                <c:pt idx="26">
                  <c:v>564.29999999999995</c:v>
                </c:pt>
                <c:pt idx="27">
                  <c:v>613.25</c:v>
                </c:pt>
                <c:pt idx="28">
                  <c:v>635.79999999999995</c:v>
                </c:pt>
                <c:pt idx="29">
                  <c:v>663.7</c:v>
                </c:pt>
                <c:pt idx="30">
                  <c:v>654.6</c:v>
                </c:pt>
                <c:pt idx="31">
                  <c:v>664.15</c:v>
                </c:pt>
                <c:pt idx="32">
                  <c:v>945</c:v>
                </c:pt>
                <c:pt idx="33">
                  <c:v>867.75</c:v>
                </c:pt>
                <c:pt idx="34">
                  <c:v>678.55</c:v>
                </c:pt>
                <c:pt idx="35">
                  <c:v>2108.1999999999998</c:v>
                </c:pt>
                <c:pt idx="36">
                  <c:v>3692.85</c:v>
                </c:pt>
                <c:pt idx="37">
                  <c:v>3632.75</c:v>
                </c:pt>
                <c:pt idx="38">
                  <c:v>3602.85</c:v>
                </c:pt>
                <c:pt idx="39">
                  <c:v>3339.85</c:v>
                </c:pt>
                <c:pt idx="40">
                  <c:v>3744.95</c:v>
                </c:pt>
                <c:pt idx="41">
                  <c:v>3127.2</c:v>
                </c:pt>
                <c:pt idx="42">
                  <c:v>2392.9</c:v>
                </c:pt>
                <c:pt idx="43">
                  <c:v>2397.9</c:v>
                </c:pt>
                <c:pt idx="44">
                  <c:v>2450.9499999999998</c:v>
                </c:pt>
                <c:pt idx="45">
                  <c:v>2149.8000000000002</c:v>
                </c:pt>
                <c:pt idx="46">
                  <c:v>1588.5</c:v>
                </c:pt>
                <c:pt idx="47">
                  <c:v>1821.25</c:v>
                </c:pt>
                <c:pt idx="48">
                  <c:v>1721.8</c:v>
                </c:pt>
                <c:pt idx="49">
                  <c:v>1599.85</c:v>
                </c:pt>
                <c:pt idx="50">
                  <c:v>1439.45</c:v>
                </c:pt>
                <c:pt idx="51">
                  <c:v>1423.15</c:v>
                </c:pt>
                <c:pt idx="52">
                  <c:v>1452.5</c:v>
                </c:pt>
                <c:pt idx="53">
                  <c:v>892.55</c:v>
                </c:pt>
                <c:pt idx="54">
                  <c:v>1019.85</c:v>
                </c:pt>
                <c:pt idx="55">
                  <c:v>1348.85</c:v>
                </c:pt>
                <c:pt idx="56">
                  <c:v>1150.75</c:v>
                </c:pt>
                <c:pt idx="57">
                  <c:v>961.25</c:v>
                </c:pt>
                <c:pt idx="58">
                  <c:v>512.20000000000005</c:v>
                </c:pt>
                <c:pt idx="59">
                  <c:v>381.05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23-4005-9C45-2DBFDC4F3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7843472"/>
        <c:axId val="967854992"/>
      </c:barChart>
      <c:catAx>
        <c:axId val="967843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67854992"/>
        <c:crosses val="autoZero"/>
        <c:auto val="1"/>
        <c:lblAlgn val="ctr"/>
        <c:lblOffset val="100"/>
        <c:noMultiLvlLbl val="0"/>
      </c:catAx>
      <c:valAx>
        <c:axId val="967854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67843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Summary!$G$23</c:f>
              <c:strCache>
                <c:ptCount val="1"/>
                <c:pt idx="0">
                  <c:v>Volume M (Ave)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Summary!$E$24:$E$28</c:f>
              <c:numCache>
                <c:formatCode>[$-407]mmmm\ yy;@</c:formatCode>
                <c:ptCount val="5"/>
                <c:pt idx="0">
                  <c:v>45663.5</c:v>
                </c:pt>
                <c:pt idx="1">
                  <c:v>45297.5</c:v>
                </c:pt>
                <c:pt idx="2">
                  <c:v>44932.5</c:v>
                </c:pt>
                <c:pt idx="3">
                  <c:v>44567.5</c:v>
                </c:pt>
                <c:pt idx="4">
                  <c:v>44202.5</c:v>
                </c:pt>
              </c:numCache>
            </c:numRef>
          </c:cat>
          <c:val>
            <c:numRef>
              <c:f>Summary!$G$24:$G$28</c:f>
              <c:numCache>
                <c:formatCode>General</c:formatCode>
                <c:ptCount val="5"/>
                <c:pt idx="0">
                  <c:v>27959166.666666668</c:v>
                </c:pt>
                <c:pt idx="1">
                  <c:v>49972500</c:v>
                </c:pt>
                <c:pt idx="2">
                  <c:v>39465833.333333336</c:v>
                </c:pt>
                <c:pt idx="3">
                  <c:v>7441666.666666667</c:v>
                </c:pt>
                <c:pt idx="4">
                  <c:v>26290000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F-49EE-B594-76D01E1358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16805056"/>
        <c:axId val="1116800736"/>
      </c:barChart>
      <c:dateAx>
        <c:axId val="1116805056"/>
        <c:scaling>
          <c:orientation val="minMax"/>
        </c:scaling>
        <c:delete val="0"/>
        <c:axPos val="b"/>
        <c:numFmt formatCode="[$-407]mmmm\ 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16800736"/>
        <c:crosses val="autoZero"/>
        <c:auto val="1"/>
        <c:lblOffset val="100"/>
        <c:baseTimeUnit val="years"/>
      </c:dateAx>
      <c:valAx>
        <c:axId val="1116800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16805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Summary!$F$23</c:f>
              <c:strCache>
                <c:ptCount val="1"/>
                <c:pt idx="0">
                  <c:v>Price (Ave)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Summary!$E$24:$E$28</c:f>
              <c:numCache>
                <c:formatCode>[$-407]mmmm\ yy;@</c:formatCode>
                <c:ptCount val="5"/>
                <c:pt idx="0">
                  <c:v>45663.5</c:v>
                </c:pt>
                <c:pt idx="1">
                  <c:v>45297.5</c:v>
                </c:pt>
                <c:pt idx="2">
                  <c:v>44932.5</c:v>
                </c:pt>
                <c:pt idx="3">
                  <c:v>44567.5</c:v>
                </c:pt>
                <c:pt idx="4">
                  <c:v>44202.5</c:v>
                </c:pt>
              </c:numCache>
            </c:numRef>
          </c:cat>
          <c:val>
            <c:numRef>
              <c:f>Summary!$F$24:$F$28</c:f>
              <c:numCache>
                <c:formatCode>General</c:formatCode>
                <c:ptCount val="5"/>
                <c:pt idx="0">
                  <c:v>615.66666666666663</c:v>
                </c:pt>
                <c:pt idx="1">
                  <c:v>886.0916666666667</c:v>
                </c:pt>
                <c:pt idx="2">
                  <c:v>841.00416666666661</c:v>
                </c:pt>
                <c:pt idx="3">
                  <c:v>2828.4791666666665</c:v>
                </c:pt>
                <c:pt idx="4">
                  <c:v>1158.6041666666667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04-4A99-82D1-78F5E02DF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8572016"/>
        <c:axId val="1484935776"/>
      </c:lineChart>
      <c:dateAx>
        <c:axId val="1248572016"/>
        <c:scaling>
          <c:orientation val="minMax"/>
        </c:scaling>
        <c:delete val="0"/>
        <c:axPos val="b"/>
        <c:numFmt formatCode="[$-407]mmmm\ 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84935776"/>
        <c:crosses val="autoZero"/>
        <c:auto val="1"/>
        <c:lblOffset val="100"/>
        <c:baseTimeUnit val="years"/>
      </c:dateAx>
      <c:valAx>
        <c:axId val="1484935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4857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5Y ears_Market excess return = Rm − Rf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Summary!$M$23</c:f>
              <c:strCache>
                <c:ptCount val="1"/>
                <c:pt idx="0">
                  <c:v>Market excess return = Rm − Rf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0.19194444444444445"/>
                  <c:y val="-7.288385826771653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Summary!$L$24:$L$82</c:f>
              <c:numCache>
                <c:formatCode>0.0000%</c:formatCode>
                <c:ptCount val="59"/>
                <c:pt idx="0">
                  <c:v>-7.3641121988974975E-2</c:v>
                </c:pt>
                <c:pt idx="1">
                  <c:v>-4.5823430550271695E-2</c:v>
                </c:pt>
                <c:pt idx="2">
                  <c:v>4.5055811415682665E-3</c:v>
                </c:pt>
                <c:pt idx="3">
                  <c:v>5.072716007626174E-2</c:v>
                </c:pt>
                <c:pt idx="4">
                  <c:v>-2.7273705981038378E-2</c:v>
                </c:pt>
                <c:pt idx="5">
                  <c:v>-0.11760260467852802</c:v>
                </c:pt>
                <c:pt idx="6">
                  <c:v>-1.7288335246300603E-2</c:v>
                </c:pt>
                <c:pt idx="7">
                  <c:v>0.12481025406325737</c:v>
                </c:pt>
                <c:pt idx="8">
                  <c:v>-9.5098603566007439E-3</c:v>
                </c:pt>
                <c:pt idx="9">
                  <c:v>7.2899956536471244E-2</c:v>
                </c:pt>
                <c:pt idx="10">
                  <c:v>-0.14898489631442122</c:v>
                </c:pt>
                <c:pt idx="11">
                  <c:v>-0.17391799225152496</c:v>
                </c:pt>
                <c:pt idx="12">
                  <c:v>-7.0751389716750296E-2</c:v>
                </c:pt>
                <c:pt idx="13">
                  <c:v>0.1174551996523647</c:v>
                </c:pt>
                <c:pt idx="14">
                  <c:v>-9.6154973708271071E-2</c:v>
                </c:pt>
                <c:pt idx="15">
                  <c:v>-5.9773742821096272E-2</c:v>
                </c:pt>
                <c:pt idx="16">
                  <c:v>-8.1109922685172017E-2</c:v>
                </c:pt>
                <c:pt idx="17">
                  <c:v>-6.0215249703295974E-3</c:v>
                </c:pt>
                <c:pt idx="18">
                  <c:v>-0.1538814422861122</c:v>
                </c:pt>
                <c:pt idx="19">
                  <c:v>0.10656714628044237</c:v>
                </c:pt>
                <c:pt idx="20">
                  <c:v>-2.7708018294175484E-3</c:v>
                </c:pt>
                <c:pt idx="21">
                  <c:v>-0.10713299278479489</c:v>
                </c:pt>
                <c:pt idx="22">
                  <c:v>7.5330304039540287E-3</c:v>
                </c:pt>
                <c:pt idx="23">
                  <c:v>1.8878384011031986E-2</c:v>
                </c:pt>
                <c:pt idx="24">
                  <c:v>0.32653952322228863</c:v>
                </c:pt>
                <c:pt idx="25">
                  <c:v>0.2224682076491101</c:v>
                </c:pt>
                <c:pt idx="26">
                  <c:v>-8.870582483017099E-2</c:v>
                </c:pt>
                <c:pt idx="27">
                  <c:v>-4.1630532004770245E-2</c:v>
                </c:pt>
                <c:pt idx="28">
                  <c:v>-4.8465358341843803E-2</c:v>
                </c:pt>
                <c:pt idx="29">
                  <c:v>8.286711418132562E-3</c:v>
                </c:pt>
                <c:pt idx="30">
                  <c:v>-2.0002832178098787E-2</c:v>
                </c:pt>
                <c:pt idx="31">
                  <c:v>-0.35819606658189718</c:v>
                </c:pt>
                <c:pt idx="32">
                  <c:v>7.9762106085180529E-2</c:v>
                </c:pt>
                <c:pt idx="33">
                  <c:v>0.24042631954784938</c:v>
                </c:pt>
                <c:pt idx="34">
                  <c:v>-1.1391507799603757</c:v>
                </c:pt>
                <c:pt idx="35">
                  <c:v>-0.56608318148899228</c:v>
                </c:pt>
                <c:pt idx="36">
                  <c:v>1.0889413775942478E-2</c:v>
                </c:pt>
                <c:pt idx="37">
                  <c:v>2.7455716260354644E-3</c:v>
                </c:pt>
                <c:pt idx="38">
                  <c:v>7.0280136458823333E-2</c:v>
                </c:pt>
                <c:pt idx="39">
                  <c:v>-0.12000153661139983</c:v>
                </c:pt>
                <c:pt idx="40">
                  <c:v>0.1747510635819346</c:v>
                </c:pt>
                <c:pt idx="41">
                  <c:v>0.26211284932680801</c:v>
                </c:pt>
                <c:pt idx="42">
                  <c:v>-7.6065014814795367E-3</c:v>
                </c:pt>
                <c:pt idx="43">
                  <c:v>-2.7401516849815313E-2</c:v>
                </c:pt>
                <c:pt idx="44">
                  <c:v>0.12558172327760181</c:v>
                </c:pt>
                <c:pt idx="45">
                  <c:v>0.29706547316272569</c:v>
                </c:pt>
                <c:pt idx="46">
                  <c:v>-0.14225207046651037</c:v>
                </c:pt>
                <c:pt idx="47">
                  <c:v>5.0633656618893602E-2</c:v>
                </c:pt>
                <c:pt idx="48">
                  <c:v>6.7941213724120889E-2</c:v>
                </c:pt>
                <c:pt idx="49">
                  <c:v>0.10012961200015567</c:v>
                </c:pt>
                <c:pt idx="50">
                  <c:v>5.8692048617823558E-3</c:v>
                </c:pt>
                <c:pt idx="51">
                  <c:v>-2.593265175493761E-2</c:v>
                </c:pt>
                <c:pt idx="52">
                  <c:v>0.4814397875658385</c:v>
                </c:pt>
                <c:pt idx="53">
                  <c:v>-0.13884746881368393</c:v>
                </c:pt>
                <c:pt idx="54">
                  <c:v>-0.28511598657474191</c:v>
                </c:pt>
                <c:pt idx="55">
                  <c:v>0.15331930718463596</c:v>
                </c:pt>
                <c:pt idx="56">
                  <c:v>0.17441549521083044</c:v>
                </c:pt>
                <c:pt idx="57">
                  <c:v>0.62400018038776217</c:v>
                </c:pt>
                <c:pt idx="58">
                  <c:v>0.29026540698663178</c:v>
                </c:pt>
              </c:numCache>
            </c:numRef>
          </c:xVal>
          <c:yVal>
            <c:numRef>
              <c:f>Summary!$M$24:$M$82</c:f>
              <c:numCache>
                <c:formatCode>0.0000%</c:formatCode>
                <c:ptCount val="59"/>
                <c:pt idx="0">
                  <c:v>-8.3223951748349657E-3</c:v>
                </c:pt>
                <c:pt idx="1">
                  <c:v>1.3002288622933341E-2</c:v>
                </c:pt>
                <c:pt idx="2">
                  <c:v>3.8633817210642941E-2</c:v>
                </c:pt>
                <c:pt idx="3">
                  <c:v>1.9954568868192479E-3</c:v>
                </c:pt>
                <c:pt idx="4">
                  <c:v>-1.9402857982976019E-2</c:v>
                </c:pt>
                <c:pt idx="5">
                  <c:v>-3.5299394405859073E-2</c:v>
                </c:pt>
                <c:pt idx="6">
                  <c:v>2.4973918073919143E-2</c:v>
                </c:pt>
                <c:pt idx="7">
                  <c:v>1.1451836491976442E-2</c:v>
                </c:pt>
                <c:pt idx="8">
                  <c:v>2.8540115023599107E-2</c:v>
                </c:pt>
                <c:pt idx="9">
                  <c:v>5.5609688447424054E-2</c:v>
                </c:pt>
                <c:pt idx="10">
                  <c:v>-6.6182339276368657E-2</c:v>
                </c:pt>
                <c:pt idx="11">
                  <c:v>-1.1304580189125151E-2</c:v>
                </c:pt>
                <c:pt idx="12">
                  <c:v>-2.5877414059349211E-2</c:v>
                </c:pt>
                <c:pt idx="13">
                  <c:v>-8.5913847712588941E-3</c:v>
                </c:pt>
                <c:pt idx="14">
                  <c:v>-6.9740429717160934E-2</c:v>
                </c:pt>
                <c:pt idx="15">
                  <c:v>1.7008195585702639E-2</c:v>
                </c:pt>
                <c:pt idx="16">
                  <c:v>5.8285039212399763E-3</c:v>
                </c:pt>
                <c:pt idx="17">
                  <c:v>3.2905347144418728E-2</c:v>
                </c:pt>
                <c:pt idx="18">
                  <c:v>5.8097409195567253E-2</c:v>
                </c:pt>
                <c:pt idx="19">
                  <c:v>-8.8048280447873429E-3</c:v>
                </c:pt>
                <c:pt idx="20">
                  <c:v>6.8530888336202763E-3</c:v>
                </c:pt>
                <c:pt idx="21">
                  <c:v>1.0012733460255361E-2</c:v>
                </c:pt>
                <c:pt idx="22">
                  <c:v>6.2452711546243838E-3</c:v>
                </c:pt>
                <c:pt idx="23">
                  <c:v>-5.7814943430504594E-3</c:v>
                </c:pt>
                <c:pt idx="24">
                  <c:v>7.0871342314767521E-2</c:v>
                </c:pt>
                <c:pt idx="25">
                  <c:v>4.8228842164470452E-2</c:v>
                </c:pt>
                <c:pt idx="26">
                  <c:v>-3.4381206362018038E-2</c:v>
                </c:pt>
                <c:pt idx="27">
                  <c:v>1.4254130618616023E-2</c:v>
                </c:pt>
                <c:pt idx="28">
                  <c:v>-3.1156600719741571E-2</c:v>
                </c:pt>
                <c:pt idx="29">
                  <c:v>2.348690739257215E-2</c:v>
                </c:pt>
                <c:pt idx="30">
                  <c:v>2.919217228794016E-2</c:v>
                </c:pt>
                <c:pt idx="31">
                  <c:v>2.0132933622825915E-2</c:v>
                </c:pt>
                <c:pt idx="32">
                  <c:v>3.430288972608609E-2</c:v>
                </c:pt>
                <c:pt idx="33">
                  <c:v>-2.2996576010822284E-3</c:v>
                </c:pt>
                <c:pt idx="34">
                  <c:v>-2.6008299345368469E-2</c:v>
                </c:pt>
                <c:pt idx="35">
                  <c:v>-3.029994793530684E-2</c:v>
                </c:pt>
                <c:pt idx="36">
                  <c:v>-4.0953440196352428E-2</c:v>
                </c:pt>
                <c:pt idx="37">
                  <c:v>3.5070513865309148E-2</c:v>
                </c:pt>
                <c:pt idx="38">
                  <c:v>4.678213986496077E-2</c:v>
                </c:pt>
                <c:pt idx="39">
                  <c:v>-4.3680489484816933E-2</c:v>
                </c:pt>
                <c:pt idx="40">
                  <c:v>2.8911048198791159E-2</c:v>
                </c:pt>
                <c:pt idx="41">
                  <c:v>7.8200782709447997E-2</c:v>
                </c:pt>
                <c:pt idx="42">
                  <c:v>-5.5231547614846513E-2</c:v>
                </c:pt>
                <c:pt idx="43">
                  <c:v>-3.6275202785149396E-2</c:v>
                </c:pt>
                <c:pt idx="44">
                  <c:v>-2.6476155282107977E-2</c:v>
                </c:pt>
                <c:pt idx="45">
                  <c:v>3.3649671910624637E-2</c:v>
                </c:pt>
                <c:pt idx="46">
                  <c:v>-3.7510762226534114E-2</c:v>
                </c:pt>
                <c:pt idx="47">
                  <c:v>-6.3377544179967623E-3</c:v>
                </c:pt>
                <c:pt idx="48">
                  <c:v>1.6082121744956976E-2</c:v>
                </c:pt>
                <c:pt idx="49">
                  <c:v>-4.52562071109157E-2</c:v>
                </c:pt>
                <c:pt idx="50">
                  <c:v>-2.4871267578749461E-3</c:v>
                </c:pt>
                <c:pt idx="51">
                  <c:v>2.2450720259224323E-2</c:v>
                </c:pt>
                <c:pt idx="52">
                  <c:v>7.7771973454152044E-2</c:v>
                </c:pt>
                <c:pt idx="53">
                  <c:v>-2.8797753384686227E-3</c:v>
                </c:pt>
                <c:pt idx="54">
                  <c:v>3.34229374755714E-3</c:v>
                </c:pt>
                <c:pt idx="55">
                  <c:v>5.749917503983009E-2</c:v>
                </c:pt>
                <c:pt idx="56">
                  <c:v>-9.5844070052543071E-3</c:v>
                </c:pt>
                <c:pt idx="57">
                  <c:v>5.5384976322694892E-3</c:v>
                </c:pt>
                <c:pt idx="58">
                  <c:v>5.802712994819368E-2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3D-4FF6-8067-C3266D7246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3320624"/>
        <c:axId val="1273322544"/>
      </c:scatterChart>
      <c:valAx>
        <c:axId val="1273320624"/>
        <c:scaling>
          <c:orientation val="minMax"/>
        </c:scaling>
        <c:delete val="0"/>
        <c:axPos val="b"/>
        <c:numFmt formatCode="0.0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73322544"/>
        <c:crosses val="autoZero"/>
        <c:crossBetween val="midCat"/>
      </c:valAx>
      <c:valAx>
        <c:axId val="1273322544"/>
        <c:scaling>
          <c:orientation val="minMax"/>
        </c:scaling>
        <c:delete val="0"/>
        <c:axPos val="l"/>
        <c:numFmt formatCode="0.0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73320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38100">
              <a:noFill/>
            </a:ln>
          </c:spPr>
          <c:xVal>
            <c:numRef>
              <c:f>Summary!$M$24:$M$82</c:f>
              <c:numCache>
                <c:formatCode>0.0000%</c:formatCode>
                <c:ptCount val="59"/>
                <c:pt idx="0">
                  <c:v>-8.3223951748349657E-3</c:v>
                </c:pt>
                <c:pt idx="1">
                  <c:v>1.3002288622933341E-2</c:v>
                </c:pt>
                <c:pt idx="2">
                  <c:v>3.8633817210642941E-2</c:v>
                </c:pt>
                <c:pt idx="3">
                  <c:v>1.9954568868192479E-3</c:v>
                </c:pt>
                <c:pt idx="4">
                  <c:v>-1.9402857982976019E-2</c:v>
                </c:pt>
                <c:pt idx="5">
                  <c:v>-3.5299394405859073E-2</c:v>
                </c:pt>
                <c:pt idx="6">
                  <c:v>2.4973918073919143E-2</c:v>
                </c:pt>
                <c:pt idx="7">
                  <c:v>1.1451836491976442E-2</c:v>
                </c:pt>
                <c:pt idx="8">
                  <c:v>2.8540115023599107E-2</c:v>
                </c:pt>
                <c:pt idx="9">
                  <c:v>5.5609688447424054E-2</c:v>
                </c:pt>
                <c:pt idx="10">
                  <c:v>-6.6182339276368657E-2</c:v>
                </c:pt>
                <c:pt idx="11">
                  <c:v>-1.1304580189125151E-2</c:v>
                </c:pt>
                <c:pt idx="12">
                  <c:v>-2.5877414059349211E-2</c:v>
                </c:pt>
                <c:pt idx="13">
                  <c:v>-8.5913847712588941E-3</c:v>
                </c:pt>
                <c:pt idx="14">
                  <c:v>-6.9740429717160934E-2</c:v>
                </c:pt>
                <c:pt idx="15">
                  <c:v>1.7008195585702639E-2</c:v>
                </c:pt>
                <c:pt idx="16">
                  <c:v>5.8285039212399763E-3</c:v>
                </c:pt>
                <c:pt idx="17">
                  <c:v>3.2905347144418728E-2</c:v>
                </c:pt>
                <c:pt idx="18">
                  <c:v>5.8097409195567253E-2</c:v>
                </c:pt>
                <c:pt idx="19">
                  <c:v>-8.8048280447873429E-3</c:v>
                </c:pt>
                <c:pt idx="20">
                  <c:v>6.8530888336202763E-3</c:v>
                </c:pt>
                <c:pt idx="21">
                  <c:v>1.0012733460255361E-2</c:v>
                </c:pt>
                <c:pt idx="22">
                  <c:v>6.2452711546243838E-3</c:v>
                </c:pt>
                <c:pt idx="23">
                  <c:v>-5.7814943430504594E-3</c:v>
                </c:pt>
                <c:pt idx="24">
                  <c:v>7.0871342314767521E-2</c:v>
                </c:pt>
                <c:pt idx="25">
                  <c:v>4.8228842164470452E-2</c:v>
                </c:pt>
                <c:pt idx="26">
                  <c:v>-3.4381206362018038E-2</c:v>
                </c:pt>
                <c:pt idx="27">
                  <c:v>1.4254130618616023E-2</c:v>
                </c:pt>
                <c:pt idx="28">
                  <c:v>-3.1156600719741571E-2</c:v>
                </c:pt>
                <c:pt idx="29">
                  <c:v>2.348690739257215E-2</c:v>
                </c:pt>
                <c:pt idx="30">
                  <c:v>2.919217228794016E-2</c:v>
                </c:pt>
                <c:pt idx="31">
                  <c:v>2.0132933622825915E-2</c:v>
                </c:pt>
                <c:pt idx="32">
                  <c:v>3.430288972608609E-2</c:v>
                </c:pt>
                <c:pt idx="33">
                  <c:v>-2.2996576010822284E-3</c:v>
                </c:pt>
                <c:pt idx="34">
                  <c:v>-2.6008299345368469E-2</c:v>
                </c:pt>
                <c:pt idx="35">
                  <c:v>-3.029994793530684E-2</c:v>
                </c:pt>
                <c:pt idx="36">
                  <c:v>-4.0953440196352428E-2</c:v>
                </c:pt>
                <c:pt idx="37">
                  <c:v>3.5070513865309148E-2</c:v>
                </c:pt>
                <c:pt idx="38">
                  <c:v>4.678213986496077E-2</c:v>
                </c:pt>
                <c:pt idx="39">
                  <c:v>-4.3680489484816933E-2</c:v>
                </c:pt>
                <c:pt idx="40">
                  <c:v>2.8911048198791159E-2</c:v>
                </c:pt>
                <c:pt idx="41">
                  <c:v>7.8200782709447997E-2</c:v>
                </c:pt>
                <c:pt idx="42">
                  <c:v>-5.5231547614846513E-2</c:v>
                </c:pt>
                <c:pt idx="43">
                  <c:v>-3.6275202785149396E-2</c:v>
                </c:pt>
                <c:pt idx="44">
                  <c:v>-2.6476155282107977E-2</c:v>
                </c:pt>
                <c:pt idx="45">
                  <c:v>3.3649671910624637E-2</c:v>
                </c:pt>
                <c:pt idx="46">
                  <c:v>-3.7510762226534114E-2</c:v>
                </c:pt>
                <c:pt idx="47">
                  <c:v>-6.3377544179967623E-3</c:v>
                </c:pt>
                <c:pt idx="48">
                  <c:v>1.6082121744956976E-2</c:v>
                </c:pt>
                <c:pt idx="49">
                  <c:v>-4.52562071109157E-2</c:v>
                </c:pt>
                <c:pt idx="50">
                  <c:v>-2.4871267578749461E-3</c:v>
                </c:pt>
                <c:pt idx="51">
                  <c:v>2.2450720259224323E-2</c:v>
                </c:pt>
                <c:pt idx="52">
                  <c:v>7.7771973454152044E-2</c:v>
                </c:pt>
                <c:pt idx="53">
                  <c:v>-2.8797753384686227E-3</c:v>
                </c:pt>
                <c:pt idx="54">
                  <c:v>3.34229374755714E-3</c:v>
                </c:pt>
                <c:pt idx="55">
                  <c:v>5.749917503983009E-2</c:v>
                </c:pt>
                <c:pt idx="56">
                  <c:v>-9.5844070052543071E-3</c:v>
                </c:pt>
                <c:pt idx="57">
                  <c:v>5.5384976322694892E-3</c:v>
                </c:pt>
                <c:pt idx="58">
                  <c:v>5.802712994819368E-2</c:v>
                </c:pt>
              </c:numCache>
            </c:numRef>
          </c:xVal>
          <c:yVal>
            <c:numRef>
              <c:f>Summary!$L$24:$L$82</c:f>
              <c:numCache>
                <c:formatCode>0.0000%</c:formatCode>
                <c:ptCount val="59"/>
                <c:pt idx="0">
                  <c:v>-7.3641121988974975E-2</c:v>
                </c:pt>
                <c:pt idx="1">
                  <c:v>-4.5823430550271695E-2</c:v>
                </c:pt>
                <c:pt idx="2">
                  <c:v>4.5055811415682665E-3</c:v>
                </c:pt>
                <c:pt idx="3">
                  <c:v>5.072716007626174E-2</c:v>
                </c:pt>
                <c:pt idx="4">
                  <c:v>-2.7273705981038378E-2</c:v>
                </c:pt>
                <c:pt idx="5">
                  <c:v>-0.11760260467852802</c:v>
                </c:pt>
                <c:pt idx="6">
                  <c:v>-1.7288335246300603E-2</c:v>
                </c:pt>
                <c:pt idx="7">
                  <c:v>0.12481025406325737</c:v>
                </c:pt>
                <c:pt idx="8">
                  <c:v>-9.5098603566007439E-3</c:v>
                </c:pt>
                <c:pt idx="9">
                  <c:v>7.2899956536471244E-2</c:v>
                </c:pt>
                <c:pt idx="10">
                  <c:v>-0.14898489631442122</c:v>
                </c:pt>
                <c:pt idx="11">
                  <c:v>-0.17391799225152496</c:v>
                </c:pt>
                <c:pt idx="12">
                  <c:v>-7.0751389716750296E-2</c:v>
                </c:pt>
                <c:pt idx="13">
                  <c:v>0.1174551996523647</c:v>
                </c:pt>
                <c:pt idx="14">
                  <c:v>-9.6154973708271071E-2</c:v>
                </c:pt>
                <c:pt idx="15">
                  <c:v>-5.9773742821096272E-2</c:v>
                </c:pt>
                <c:pt idx="16">
                  <c:v>-8.1109922685172017E-2</c:v>
                </c:pt>
                <c:pt idx="17">
                  <c:v>-6.0215249703295974E-3</c:v>
                </c:pt>
                <c:pt idx="18">
                  <c:v>-0.1538814422861122</c:v>
                </c:pt>
                <c:pt idx="19">
                  <c:v>0.10656714628044237</c:v>
                </c:pt>
                <c:pt idx="20">
                  <c:v>-2.7708018294175484E-3</c:v>
                </c:pt>
                <c:pt idx="21">
                  <c:v>-0.10713299278479489</c:v>
                </c:pt>
                <c:pt idx="22">
                  <c:v>7.5330304039540287E-3</c:v>
                </c:pt>
                <c:pt idx="23">
                  <c:v>1.8878384011031986E-2</c:v>
                </c:pt>
                <c:pt idx="24">
                  <c:v>0.32653952322228863</c:v>
                </c:pt>
                <c:pt idx="25">
                  <c:v>0.2224682076491101</c:v>
                </c:pt>
                <c:pt idx="26">
                  <c:v>-8.870582483017099E-2</c:v>
                </c:pt>
                <c:pt idx="27">
                  <c:v>-4.1630532004770245E-2</c:v>
                </c:pt>
                <c:pt idx="28">
                  <c:v>-4.8465358341843803E-2</c:v>
                </c:pt>
                <c:pt idx="29">
                  <c:v>8.286711418132562E-3</c:v>
                </c:pt>
                <c:pt idx="30">
                  <c:v>-2.0002832178098787E-2</c:v>
                </c:pt>
                <c:pt idx="31">
                  <c:v>-0.35819606658189718</c:v>
                </c:pt>
                <c:pt idx="32">
                  <c:v>7.9762106085180529E-2</c:v>
                </c:pt>
                <c:pt idx="33">
                  <c:v>0.24042631954784938</c:v>
                </c:pt>
                <c:pt idx="34">
                  <c:v>-1.1391507799603757</c:v>
                </c:pt>
                <c:pt idx="35">
                  <c:v>-0.56608318148899228</c:v>
                </c:pt>
                <c:pt idx="36">
                  <c:v>1.0889413775942478E-2</c:v>
                </c:pt>
                <c:pt idx="37">
                  <c:v>2.7455716260354644E-3</c:v>
                </c:pt>
                <c:pt idx="38">
                  <c:v>7.0280136458823333E-2</c:v>
                </c:pt>
                <c:pt idx="39">
                  <c:v>-0.12000153661139983</c:v>
                </c:pt>
                <c:pt idx="40">
                  <c:v>0.1747510635819346</c:v>
                </c:pt>
                <c:pt idx="41">
                  <c:v>0.26211284932680801</c:v>
                </c:pt>
                <c:pt idx="42">
                  <c:v>-7.6065014814795367E-3</c:v>
                </c:pt>
                <c:pt idx="43">
                  <c:v>-2.7401516849815313E-2</c:v>
                </c:pt>
                <c:pt idx="44">
                  <c:v>0.12558172327760181</c:v>
                </c:pt>
                <c:pt idx="45">
                  <c:v>0.29706547316272569</c:v>
                </c:pt>
                <c:pt idx="46">
                  <c:v>-0.14225207046651037</c:v>
                </c:pt>
                <c:pt idx="47">
                  <c:v>5.0633656618893602E-2</c:v>
                </c:pt>
                <c:pt idx="48">
                  <c:v>6.7941213724120889E-2</c:v>
                </c:pt>
                <c:pt idx="49">
                  <c:v>0.10012961200015567</c:v>
                </c:pt>
                <c:pt idx="50">
                  <c:v>5.8692048617823558E-3</c:v>
                </c:pt>
                <c:pt idx="51">
                  <c:v>-2.593265175493761E-2</c:v>
                </c:pt>
                <c:pt idx="52">
                  <c:v>0.4814397875658385</c:v>
                </c:pt>
                <c:pt idx="53">
                  <c:v>-0.13884746881368393</c:v>
                </c:pt>
                <c:pt idx="54">
                  <c:v>-0.28511598657474191</c:v>
                </c:pt>
                <c:pt idx="55">
                  <c:v>0.15331930718463596</c:v>
                </c:pt>
                <c:pt idx="56">
                  <c:v>0.17441549521083044</c:v>
                </c:pt>
                <c:pt idx="57">
                  <c:v>0.62400018038776217</c:v>
                </c:pt>
                <c:pt idx="58">
                  <c:v>0.29026540698663178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629-45F1-86D4-643556C9B701}"/>
            </c:ext>
          </c:extLst>
        </c:ser>
        <c:ser>
          <c:idx val="1"/>
          <c:order val="1"/>
          <c:tx>
            <c:v>Predicted Y</c:v>
          </c:tx>
          <c:spPr>
            <a:ln w="38100">
              <a:noFill/>
            </a:ln>
          </c:spPr>
          <c:xVal>
            <c:numRef>
              <c:f>Summary!$M$24:$M$82</c:f>
              <c:numCache>
                <c:formatCode>0.0000%</c:formatCode>
                <c:ptCount val="59"/>
                <c:pt idx="0">
                  <c:v>-8.3223951748349657E-3</c:v>
                </c:pt>
                <c:pt idx="1">
                  <c:v>1.3002288622933341E-2</c:v>
                </c:pt>
                <c:pt idx="2">
                  <c:v>3.8633817210642941E-2</c:v>
                </c:pt>
                <c:pt idx="3">
                  <c:v>1.9954568868192479E-3</c:v>
                </c:pt>
                <c:pt idx="4">
                  <c:v>-1.9402857982976019E-2</c:v>
                </c:pt>
                <c:pt idx="5">
                  <c:v>-3.5299394405859073E-2</c:v>
                </c:pt>
                <c:pt idx="6">
                  <c:v>2.4973918073919143E-2</c:v>
                </c:pt>
                <c:pt idx="7">
                  <c:v>1.1451836491976442E-2</c:v>
                </c:pt>
                <c:pt idx="8">
                  <c:v>2.8540115023599107E-2</c:v>
                </c:pt>
                <c:pt idx="9">
                  <c:v>5.5609688447424054E-2</c:v>
                </c:pt>
                <c:pt idx="10">
                  <c:v>-6.6182339276368657E-2</c:v>
                </c:pt>
                <c:pt idx="11">
                  <c:v>-1.1304580189125151E-2</c:v>
                </c:pt>
                <c:pt idx="12">
                  <c:v>-2.5877414059349211E-2</c:v>
                </c:pt>
                <c:pt idx="13">
                  <c:v>-8.5913847712588941E-3</c:v>
                </c:pt>
                <c:pt idx="14">
                  <c:v>-6.9740429717160934E-2</c:v>
                </c:pt>
                <c:pt idx="15">
                  <c:v>1.7008195585702639E-2</c:v>
                </c:pt>
                <c:pt idx="16">
                  <c:v>5.8285039212399763E-3</c:v>
                </c:pt>
                <c:pt idx="17">
                  <c:v>3.2905347144418728E-2</c:v>
                </c:pt>
                <c:pt idx="18">
                  <c:v>5.8097409195567253E-2</c:v>
                </c:pt>
                <c:pt idx="19">
                  <c:v>-8.8048280447873429E-3</c:v>
                </c:pt>
                <c:pt idx="20">
                  <c:v>6.8530888336202763E-3</c:v>
                </c:pt>
                <c:pt idx="21">
                  <c:v>1.0012733460255361E-2</c:v>
                </c:pt>
                <c:pt idx="22">
                  <c:v>6.2452711546243838E-3</c:v>
                </c:pt>
                <c:pt idx="23">
                  <c:v>-5.7814943430504594E-3</c:v>
                </c:pt>
                <c:pt idx="24">
                  <c:v>7.0871342314767521E-2</c:v>
                </c:pt>
                <c:pt idx="25">
                  <c:v>4.8228842164470452E-2</c:v>
                </c:pt>
                <c:pt idx="26">
                  <c:v>-3.4381206362018038E-2</c:v>
                </c:pt>
                <c:pt idx="27">
                  <c:v>1.4254130618616023E-2</c:v>
                </c:pt>
                <c:pt idx="28">
                  <c:v>-3.1156600719741571E-2</c:v>
                </c:pt>
                <c:pt idx="29">
                  <c:v>2.348690739257215E-2</c:v>
                </c:pt>
                <c:pt idx="30">
                  <c:v>2.919217228794016E-2</c:v>
                </c:pt>
                <c:pt idx="31">
                  <c:v>2.0132933622825915E-2</c:v>
                </c:pt>
                <c:pt idx="32">
                  <c:v>3.430288972608609E-2</c:v>
                </c:pt>
                <c:pt idx="33">
                  <c:v>-2.2996576010822284E-3</c:v>
                </c:pt>
                <c:pt idx="34">
                  <c:v>-2.6008299345368469E-2</c:v>
                </c:pt>
                <c:pt idx="35">
                  <c:v>-3.029994793530684E-2</c:v>
                </c:pt>
                <c:pt idx="36">
                  <c:v>-4.0953440196352428E-2</c:v>
                </c:pt>
                <c:pt idx="37">
                  <c:v>3.5070513865309148E-2</c:v>
                </c:pt>
                <c:pt idx="38">
                  <c:v>4.678213986496077E-2</c:v>
                </c:pt>
                <c:pt idx="39">
                  <c:v>-4.3680489484816933E-2</c:v>
                </c:pt>
                <c:pt idx="40">
                  <c:v>2.8911048198791159E-2</c:v>
                </c:pt>
                <c:pt idx="41">
                  <c:v>7.8200782709447997E-2</c:v>
                </c:pt>
                <c:pt idx="42">
                  <c:v>-5.5231547614846513E-2</c:v>
                </c:pt>
                <c:pt idx="43">
                  <c:v>-3.6275202785149396E-2</c:v>
                </c:pt>
                <c:pt idx="44">
                  <c:v>-2.6476155282107977E-2</c:v>
                </c:pt>
                <c:pt idx="45">
                  <c:v>3.3649671910624637E-2</c:v>
                </c:pt>
                <c:pt idx="46">
                  <c:v>-3.7510762226534114E-2</c:v>
                </c:pt>
                <c:pt idx="47">
                  <c:v>-6.3377544179967623E-3</c:v>
                </c:pt>
                <c:pt idx="48">
                  <c:v>1.6082121744956976E-2</c:v>
                </c:pt>
                <c:pt idx="49">
                  <c:v>-4.52562071109157E-2</c:v>
                </c:pt>
                <c:pt idx="50">
                  <c:v>-2.4871267578749461E-3</c:v>
                </c:pt>
                <c:pt idx="51">
                  <c:v>2.2450720259224323E-2</c:v>
                </c:pt>
                <c:pt idx="52">
                  <c:v>7.7771973454152044E-2</c:v>
                </c:pt>
                <c:pt idx="53">
                  <c:v>-2.8797753384686227E-3</c:v>
                </c:pt>
                <c:pt idx="54">
                  <c:v>3.34229374755714E-3</c:v>
                </c:pt>
                <c:pt idx="55">
                  <c:v>5.749917503983009E-2</c:v>
                </c:pt>
                <c:pt idx="56">
                  <c:v>-9.5844070052543071E-3</c:v>
                </c:pt>
                <c:pt idx="57">
                  <c:v>5.5384976322694892E-3</c:v>
                </c:pt>
                <c:pt idx="58">
                  <c:v>5.802712994819368E-2</c:v>
                </c:pt>
              </c:numCache>
            </c:numRef>
          </c:xVal>
          <c:yVal>
            <c:numRef>
              <c:f>Summary!$P$63:$P$121</c:f>
              <c:numCache>
                <c:formatCode>General</c:formatCode>
                <c:ptCount val="59"/>
                <c:pt idx="0">
                  <c:v>-3.7118024487835369E-2</c:v>
                </c:pt>
                <c:pt idx="1">
                  <c:v>2.1986153095466712E-2</c:v>
                </c:pt>
                <c:pt idx="2">
                  <c:v>9.3027319836612693E-2</c:v>
                </c:pt>
                <c:pt idx="3">
                  <c:v>-8.5207347782420874E-3</c:v>
                </c:pt>
                <c:pt idx="4">
                  <c:v>-6.7828990602422271E-2</c:v>
                </c:pt>
                <c:pt idx="5">
                  <c:v>-0.11188834081871185</c:v>
                </c:pt>
                <c:pt idx="6">
                  <c:v>5.5167105260703689E-2</c:v>
                </c:pt>
                <c:pt idx="7">
                  <c:v>1.7688870239995914E-2</c:v>
                </c:pt>
                <c:pt idx="8">
                  <c:v>6.5051291108888368E-2</c:v>
                </c:pt>
                <c:pt idx="9">
                  <c:v>0.14007818904176284</c:v>
                </c:pt>
                <c:pt idx="10">
                  <c:v>-0.19748450136356133</c:v>
                </c:pt>
                <c:pt idx="11">
                  <c:v>-4.5383544124253869E-2</c:v>
                </c:pt>
                <c:pt idx="12">
                  <c:v>-8.577407788906502E-2</c:v>
                </c:pt>
                <c:pt idx="13">
                  <c:v>-3.7863564680875157E-2</c:v>
                </c:pt>
                <c:pt idx="14">
                  <c:v>-0.20734621895170416</c:v>
                </c:pt>
                <c:pt idx="15">
                  <c:v>3.3089053319219679E-2</c:v>
                </c:pt>
                <c:pt idx="16">
                  <c:v>2.1030613237784813E-3</c:v>
                </c:pt>
                <c:pt idx="17">
                  <c:v>7.715010846571399E-2</c:v>
                </c:pt>
                <c:pt idx="18">
                  <c:v>0.1469732356586467</c:v>
                </c:pt>
                <c:pt idx="19">
                  <c:v>-3.8455150903781168E-2</c:v>
                </c:pt>
                <c:pt idx="20">
                  <c:v>4.9428337295402396E-3</c:v>
                </c:pt>
                <c:pt idx="21">
                  <c:v>1.3700206119385947E-2</c:v>
                </c:pt>
                <c:pt idx="22">
                  <c:v>3.2581867552482508E-3</c:v>
                </c:pt>
                <c:pt idx="23">
                  <c:v>-3.0075582245429507E-2</c:v>
                </c:pt>
                <c:pt idx="24">
                  <c:v>0.18237787840385117</c:v>
                </c:pt>
                <c:pt idx="25">
                  <c:v>0.119621198750146</c:v>
                </c:pt>
                <c:pt idx="26">
                  <c:v>-0.10934346138637416</c:v>
                </c:pt>
                <c:pt idx="27">
                  <c:v>2.5455798522369018E-2</c:v>
                </c:pt>
                <c:pt idx="28">
                  <c:v>-0.10040604096201261</c:v>
                </c:pt>
                <c:pt idx="29">
                  <c:v>5.1045658761797216E-2</c:v>
                </c:pt>
                <c:pt idx="30">
                  <c:v>6.6858553936866572E-2</c:v>
                </c:pt>
                <c:pt idx="31">
                  <c:v>4.1749677485978041E-2</c:v>
                </c:pt>
                <c:pt idx="32">
                  <c:v>8.1023582309942277E-2</c:v>
                </c:pt>
                <c:pt idx="33">
                  <c:v>-2.0425211854713889E-2</c:v>
                </c:pt>
                <c:pt idx="34">
                  <c:v>-8.6136843745819869E-2</c:v>
                </c:pt>
                <c:pt idx="35">
                  <c:v>-9.803171462833167E-2</c:v>
                </c:pt>
                <c:pt idx="36">
                  <c:v>-0.12755927547990542</c:v>
                </c:pt>
                <c:pt idx="37">
                  <c:v>8.3151153995043511E-2</c:v>
                </c:pt>
                <c:pt idx="38">
                  <c:v>0.11561147225519371</c:v>
                </c:pt>
                <c:pt idx="39">
                  <c:v>-0.13511765275538426</c:v>
                </c:pt>
                <c:pt idx="40">
                  <c:v>6.6079381394587411E-2</c:v>
                </c:pt>
                <c:pt idx="41">
                  <c:v>0.2026923904867341</c:v>
                </c:pt>
                <c:pt idx="42">
                  <c:v>-0.16713293595802484</c:v>
                </c:pt>
                <c:pt idx="43">
                  <c:v>-0.11459292262089947</c:v>
                </c:pt>
                <c:pt idx="44">
                  <c:v>-8.7433568266131301E-2</c:v>
                </c:pt>
                <c:pt idx="45">
                  <c:v>7.9213102861255172E-2</c:v>
                </c:pt>
                <c:pt idx="46">
                  <c:v>-0.11801743879806174</c:v>
                </c:pt>
                <c:pt idx="47">
                  <c:v>-3.1617330510675432E-2</c:v>
                </c:pt>
                <c:pt idx="48">
                  <c:v>3.0522317359251518E-2</c:v>
                </c:pt>
                <c:pt idx="49">
                  <c:v>-0.13948496226755752</c:v>
                </c:pt>
                <c:pt idx="50">
                  <c:v>-2.0944807382579499E-2</c:v>
                </c:pt>
                <c:pt idx="51">
                  <c:v>4.817372926827141E-2</c:v>
                </c:pt>
                <c:pt idx="52">
                  <c:v>0.20150388900109764</c:v>
                </c:pt>
                <c:pt idx="53">
                  <c:v>-2.2033084782391115E-2</c:v>
                </c:pt>
                <c:pt idx="54">
                  <c:v>-4.7877985364807793E-3</c:v>
                </c:pt>
                <c:pt idx="55">
                  <c:v>0.14531515068480122</c:v>
                </c:pt>
                <c:pt idx="56">
                  <c:v>-4.061585695488179E-2</c:v>
                </c:pt>
                <c:pt idx="57">
                  <c:v>1.2992705915857786E-3</c:v>
                </c:pt>
                <c:pt idx="58">
                  <c:v>0.14677844744248458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629-45F1-86D4-643556C9B7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6406688"/>
        <c:axId val="1236348720"/>
      </c:scatterChart>
      <c:valAx>
        <c:axId val="12364066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X Variable 1</a:t>
                </a:r>
              </a:p>
            </c:rich>
          </c:tx>
          <c:overlay val="0"/>
        </c:title>
        <c:numFmt formatCode="0.0000%" sourceLinked="1"/>
        <c:majorTickMark val="out"/>
        <c:minorTickMark val="none"/>
        <c:tickLblPos val="nextTo"/>
        <c:crossAx val="1236348720"/>
        <c:crosses val="autoZero"/>
        <c:crossBetween val="midCat"/>
      </c:valAx>
      <c:valAx>
        <c:axId val="12363487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Y</a:t>
                </a:r>
              </a:p>
            </c:rich>
          </c:tx>
          <c:overlay val="0"/>
        </c:title>
        <c:numFmt formatCode="0.0000%" sourceLinked="1"/>
        <c:majorTickMark val="out"/>
        <c:minorTickMark val="none"/>
        <c:tickLblPos val="nextTo"/>
        <c:crossAx val="123640668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 Years_Market excess return = Rm − Rf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Summary!$M$23</c:f>
              <c:strCache>
                <c:ptCount val="1"/>
                <c:pt idx="0">
                  <c:v>Market excess return = Rm − Rf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0.12192847769028882"/>
                  <c:y val="-0.130919364246135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Summary!$L$24:$L$41</c:f>
              <c:numCache>
                <c:formatCode>0.0000%</c:formatCode>
                <c:ptCount val="18"/>
                <c:pt idx="0">
                  <c:v>-7.3641121988974975E-2</c:v>
                </c:pt>
                <c:pt idx="1">
                  <c:v>-4.5823430550271695E-2</c:v>
                </c:pt>
                <c:pt idx="2">
                  <c:v>4.5055811415682665E-3</c:v>
                </c:pt>
                <c:pt idx="3">
                  <c:v>5.072716007626174E-2</c:v>
                </c:pt>
                <c:pt idx="4">
                  <c:v>-2.7273705981038378E-2</c:v>
                </c:pt>
                <c:pt idx="5">
                  <c:v>-0.11760260467852802</c:v>
                </c:pt>
                <c:pt idx="6">
                  <c:v>-1.7288335246300603E-2</c:v>
                </c:pt>
                <c:pt idx="7">
                  <c:v>0.12481025406325737</c:v>
                </c:pt>
                <c:pt idx="8">
                  <c:v>-9.5098603566007439E-3</c:v>
                </c:pt>
                <c:pt idx="9">
                  <c:v>7.2899956536471244E-2</c:v>
                </c:pt>
                <c:pt idx="10">
                  <c:v>-0.14898489631442122</c:v>
                </c:pt>
                <c:pt idx="11">
                  <c:v>-0.17391799225152496</c:v>
                </c:pt>
                <c:pt idx="12">
                  <c:v>-7.0751389716750296E-2</c:v>
                </c:pt>
                <c:pt idx="13">
                  <c:v>0.1174551996523647</c:v>
                </c:pt>
                <c:pt idx="14">
                  <c:v>-9.6154973708271071E-2</c:v>
                </c:pt>
                <c:pt idx="15">
                  <c:v>-5.9773742821096272E-2</c:v>
                </c:pt>
                <c:pt idx="16">
                  <c:v>-8.1109922685172017E-2</c:v>
                </c:pt>
                <c:pt idx="17">
                  <c:v>-6.0215249703295974E-3</c:v>
                </c:pt>
              </c:numCache>
            </c:numRef>
          </c:xVal>
          <c:yVal>
            <c:numRef>
              <c:f>Summary!$M$24:$M$41</c:f>
              <c:numCache>
                <c:formatCode>0.0000%</c:formatCode>
                <c:ptCount val="18"/>
                <c:pt idx="0">
                  <c:v>-8.3223951748349657E-3</c:v>
                </c:pt>
                <c:pt idx="1">
                  <c:v>1.3002288622933341E-2</c:v>
                </c:pt>
                <c:pt idx="2">
                  <c:v>3.8633817210642941E-2</c:v>
                </c:pt>
                <c:pt idx="3">
                  <c:v>1.9954568868192479E-3</c:v>
                </c:pt>
                <c:pt idx="4">
                  <c:v>-1.9402857982976019E-2</c:v>
                </c:pt>
                <c:pt idx="5">
                  <c:v>-3.5299394405859073E-2</c:v>
                </c:pt>
                <c:pt idx="6">
                  <c:v>2.4973918073919143E-2</c:v>
                </c:pt>
                <c:pt idx="7">
                  <c:v>1.1451836491976442E-2</c:v>
                </c:pt>
                <c:pt idx="8">
                  <c:v>2.8540115023599107E-2</c:v>
                </c:pt>
                <c:pt idx="9">
                  <c:v>5.5609688447424054E-2</c:v>
                </c:pt>
                <c:pt idx="10">
                  <c:v>-6.6182339276368657E-2</c:v>
                </c:pt>
                <c:pt idx="11">
                  <c:v>-1.1304580189125151E-2</c:v>
                </c:pt>
                <c:pt idx="12">
                  <c:v>-2.5877414059349211E-2</c:v>
                </c:pt>
                <c:pt idx="13">
                  <c:v>-8.5913847712588941E-3</c:v>
                </c:pt>
                <c:pt idx="14">
                  <c:v>-6.9740429717160934E-2</c:v>
                </c:pt>
                <c:pt idx="15">
                  <c:v>1.7008195585702639E-2</c:v>
                </c:pt>
                <c:pt idx="16">
                  <c:v>5.8285039212399763E-3</c:v>
                </c:pt>
                <c:pt idx="17">
                  <c:v>3.2905347144418728E-2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06-424C-AB96-5293E0B76B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8569136"/>
        <c:axId val="1248569616"/>
      </c:scatterChart>
      <c:valAx>
        <c:axId val="1248569136"/>
        <c:scaling>
          <c:orientation val="minMax"/>
        </c:scaling>
        <c:delete val="0"/>
        <c:axPos val="b"/>
        <c:numFmt formatCode="0.0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48569616"/>
        <c:crosses val="autoZero"/>
        <c:crossBetween val="midCat"/>
      </c:valAx>
      <c:valAx>
        <c:axId val="1248569616"/>
        <c:scaling>
          <c:orientation val="minMax"/>
        </c:scaling>
        <c:delete val="0"/>
        <c:axPos val="l"/>
        <c:numFmt formatCode="0.0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48569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38100">
              <a:noFill/>
            </a:ln>
          </c:spPr>
          <c:xVal>
            <c:numRef>
              <c:f>Summary!$M$24:$M$59</c:f>
              <c:numCache>
                <c:formatCode>0.0000%</c:formatCode>
                <c:ptCount val="36"/>
                <c:pt idx="0">
                  <c:v>-8.3223951748349657E-3</c:v>
                </c:pt>
                <c:pt idx="1">
                  <c:v>1.3002288622933341E-2</c:v>
                </c:pt>
                <c:pt idx="2">
                  <c:v>3.8633817210642941E-2</c:v>
                </c:pt>
                <c:pt idx="3">
                  <c:v>1.9954568868192479E-3</c:v>
                </c:pt>
                <c:pt idx="4">
                  <c:v>-1.9402857982976019E-2</c:v>
                </c:pt>
                <c:pt idx="5">
                  <c:v>-3.5299394405859073E-2</c:v>
                </c:pt>
                <c:pt idx="6">
                  <c:v>2.4973918073919143E-2</c:v>
                </c:pt>
                <c:pt idx="7">
                  <c:v>1.1451836491976442E-2</c:v>
                </c:pt>
                <c:pt idx="8">
                  <c:v>2.8540115023599107E-2</c:v>
                </c:pt>
                <c:pt idx="9">
                  <c:v>5.5609688447424054E-2</c:v>
                </c:pt>
                <c:pt idx="10">
                  <c:v>-6.6182339276368657E-2</c:v>
                </c:pt>
                <c:pt idx="11">
                  <c:v>-1.1304580189125151E-2</c:v>
                </c:pt>
                <c:pt idx="12">
                  <c:v>-2.5877414059349211E-2</c:v>
                </c:pt>
                <c:pt idx="13">
                  <c:v>-8.5913847712588941E-3</c:v>
                </c:pt>
                <c:pt idx="14">
                  <c:v>-6.9740429717160934E-2</c:v>
                </c:pt>
                <c:pt idx="15">
                  <c:v>1.7008195585702639E-2</c:v>
                </c:pt>
                <c:pt idx="16">
                  <c:v>5.8285039212399763E-3</c:v>
                </c:pt>
                <c:pt idx="17">
                  <c:v>3.2905347144418728E-2</c:v>
                </c:pt>
                <c:pt idx="18">
                  <c:v>5.8097409195567253E-2</c:v>
                </c:pt>
                <c:pt idx="19">
                  <c:v>-8.8048280447873429E-3</c:v>
                </c:pt>
                <c:pt idx="20">
                  <c:v>6.8530888336202763E-3</c:v>
                </c:pt>
                <c:pt idx="21">
                  <c:v>1.0012733460255361E-2</c:v>
                </c:pt>
                <c:pt idx="22">
                  <c:v>6.2452711546243838E-3</c:v>
                </c:pt>
                <c:pt idx="23">
                  <c:v>-5.7814943430504594E-3</c:v>
                </c:pt>
                <c:pt idx="24">
                  <c:v>7.0871342314767521E-2</c:v>
                </c:pt>
                <c:pt idx="25">
                  <c:v>4.8228842164470452E-2</c:v>
                </c:pt>
                <c:pt idx="26">
                  <c:v>-3.4381206362018038E-2</c:v>
                </c:pt>
                <c:pt idx="27">
                  <c:v>1.4254130618616023E-2</c:v>
                </c:pt>
                <c:pt idx="28">
                  <c:v>-3.1156600719741571E-2</c:v>
                </c:pt>
                <c:pt idx="29">
                  <c:v>2.348690739257215E-2</c:v>
                </c:pt>
                <c:pt idx="30">
                  <c:v>2.919217228794016E-2</c:v>
                </c:pt>
                <c:pt idx="31">
                  <c:v>2.0132933622825915E-2</c:v>
                </c:pt>
                <c:pt idx="32">
                  <c:v>3.430288972608609E-2</c:v>
                </c:pt>
                <c:pt idx="33">
                  <c:v>-2.2996576010822284E-3</c:v>
                </c:pt>
                <c:pt idx="34">
                  <c:v>-2.6008299345368469E-2</c:v>
                </c:pt>
                <c:pt idx="35">
                  <c:v>-3.029994793530684E-2</c:v>
                </c:pt>
              </c:numCache>
            </c:numRef>
          </c:xVal>
          <c:yVal>
            <c:numRef>
              <c:f>Summary!$L$24:$L$59</c:f>
              <c:numCache>
                <c:formatCode>0.0000%</c:formatCode>
                <c:ptCount val="36"/>
                <c:pt idx="0">
                  <c:v>-7.3641121988974975E-2</c:v>
                </c:pt>
                <c:pt idx="1">
                  <c:v>-4.5823430550271695E-2</c:v>
                </c:pt>
                <c:pt idx="2">
                  <c:v>4.5055811415682665E-3</c:v>
                </c:pt>
                <c:pt idx="3">
                  <c:v>5.072716007626174E-2</c:v>
                </c:pt>
                <c:pt idx="4">
                  <c:v>-2.7273705981038378E-2</c:v>
                </c:pt>
                <c:pt idx="5">
                  <c:v>-0.11760260467852802</c:v>
                </c:pt>
                <c:pt idx="6">
                  <c:v>-1.7288335246300603E-2</c:v>
                </c:pt>
                <c:pt idx="7">
                  <c:v>0.12481025406325737</c:v>
                </c:pt>
                <c:pt idx="8">
                  <c:v>-9.5098603566007439E-3</c:v>
                </c:pt>
                <c:pt idx="9">
                  <c:v>7.2899956536471244E-2</c:v>
                </c:pt>
                <c:pt idx="10">
                  <c:v>-0.14898489631442122</c:v>
                </c:pt>
                <c:pt idx="11">
                  <c:v>-0.17391799225152496</c:v>
                </c:pt>
                <c:pt idx="12">
                  <c:v>-7.0751389716750296E-2</c:v>
                </c:pt>
                <c:pt idx="13">
                  <c:v>0.1174551996523647</c:v>
                </c:pt>
                <c:pt idx="14">
                  <c:v>-9.6154973708271071E-2</c:v>
                </c:pt>
                <c:pt idx="15">
                  <c:v>-5.9773742821096272E-2</c:v>
                </c:pt>
                <c:pt idx="16">
                  <c:v>-8.1109922685172017E-2</c:v>
                </c:pt>
                <c:pt idx="17">
                  <c:v>-6.0215249703295974E-3</c:v>
                </c:pt>
                <c:pt idx="18">
                  <c:v>-0.1538814422861122</c:v>
                </c:pt>
                <c:pt idx="19">
                  <c:v>0.10656714628044237</c:v>
                </c:pt>
                <c:pt idx="20">
                  <c:v>-2.7708018294175484E-3</c:v>
                </c:pt>
                <c:pt idx="21">
                  <c:v>-0.10713299278479489</c:v>
                </c:pt>
                <c:pt idx="22">
                  <c:v>7.5330304039540287E-3</c:v>
                </c:pt>
                <c:pt idx="23">
                  <c:v>1.8878384011031986E-2</c:v>
                </c:pt>
                <c:pt idx="24">
                  <c:v>0.32653952322228863</c:v>
                </c:pt>
                <c:pt idx="25">
                  <c:v>0.2224682076491101</c:v>
                </c:pt>
                <c:pt idx="26">
                  <c:v>-8.870582483017099E-2</c:v>
                </c:pt>
                <c:pt idx="27">
                  <c:v>-4.1630532004770245E-2</c:v>
                </c:pt>
                <c:pt idx="28">
                  <c:v>-4.8465358341843803E-2</c:v>
                </c:pt>
                <c:pt idx="29">
                  <c:v>8.286711418132562E-3</c:v>
                </c:pt>
                <c:pt idx="30">
                  <c:v>-2.0002832178098787E-2</c:v>
                </c:pt>
                <c:pt idx="31">
                  <c:v>-0.35819606658189718</c:v>
                </c:pt>
                <c:pt idx="32">
                  <c:v>7.9762106085180529E-2</c:v>
                </c:pt>
                <c:pt idx="33">
                  <c:v>0.24042631954784938</c:v>
                </c:pt>
                <c:pt idx="34">
                  <c:v>-1.1391507799603757</c:v>
                </c:pt>
                <c:pt idx="35">
                  <c:v>-0.56608318148899228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FD-4853-90BE-A76E3579C64E}"/>
            </c:ext>
          </c:extLst>
        </c:ser>
        <c:ser>
          <c:idx val="1"/>
          <c:order val="1"/>
          <c:tx>
            <c:v>Predicted Y</c:v>
          </c:tx>
          <c:spPr>
            <a:ln w="38100">
              <a:noFill/>
            </a:ln>
          </c:spPr>
          <c:xVal>
            <c:numRef>
              <c:f>Summary!$M$24:$M$59</c:f>
              <c:numCache>
                <c:formatCode>0.0000%</c:formatCode>
                <c:ptCount val="36"/>
                <c:pt idx="0">
                  <c:v>-8.3223951748349657E-3</c:v>
                </c:pt>
                <c:pt idx="1">
                  <c:v>1.3002288622933341E-2</c:v>
                </c:pt>
                <c:pt idx="2">
                  <c:v>3.8633817210642941E-2</c:v>
                </c:pt>
                <c:pt idx="3">
                  <c:v>1.9954568868192479E-3</c:v>
                </c:pt>
                <c:pt idx="4">
                  <c:v>-1.9402857982976019E-2</c:v>
                </c:pt>
                <c:pt idx="5">
                  <c:v>-3.5299394405859073E-2</c:v>
                </c:pt>
                <c:pt idx="6">
                  <c:v>2.4973918073919143E-2</c:v>
                </c:pt>
                <c:pt idx="7">
                  <c:v>1.1451836491976442E-2</c:v>
                </c:pt>
                <c:pt idx="8">
                  <c:v>2.8540115023599107E-2</c:v>
                </c:pt>
                <c:pt idx="9">
                  <c:v>5.5609688447424054E-2</c:v>
                </c:pt>
                <c:pt idx="10">
                  <c:v>-6.6182339276368657E-2</c:v>
                </c:pt>
                <c:pt idx="11">
                  <c:v>-1.1304580189125151E-2</c:v>
                </c:pt>
                <c:pt idx="12">
                  <c:v>-2.5877414059349211E-2</c:v>
                </c:pt>
                <c:pt idx="13">
                  <c:v>-8.5913847712588941E-3</c:v>
                </c:pt>
                <c:pt idx="14">
                  <c:v>-6.9740429717160934E-2</c:v>
                </c:pt>
                <c:pt idx="15">
                  <c:v>1.7008195585702639E-2</c:v>
                </c:pt>
                <c:pt idx="16">
                  <c:v>5.8285039212399763E-3</c:v>
                </c:pt>
                <c:pt idx="17">
                  <c:v>3.2905347144418728E-2</c:v>
                </c:pt>
                <c:pt idx="18">
                  <c:v>5.8097409195567253E-2</c:v>
                </c:pt>
                <c:pt idx="19">
                  <c:v>-8.8048280447873429E-3</c:v>
                </c:pt>
                <c:pt idx="20">
                  <c:v>6.8530888336202763E-3</c:v>
                </c:pt>
                <c:pt idx="21">
                  <c:v>1.0012733460255361E-2</c:v>
                </c:pt>
                <c:pt idx="22">
                  <c:v>6.2452711546243838E-3</c:v>
                </c:pt>
                <c:pt idx="23">
                  <c:v>-5.7814943430504594E-3</c:v>
                </c:pt>
                <c:pt idx="24">
                  <c:v>7.0871342314767521E-2</c:v>
                </c:pt>
                <c:pt idx="25">
                  <c:v>4.8228842164470452E-2</c:v>
                </c:pt>
                <c:pt idx="26">
                  <c:v>-3.4381206362018038E-2</c:v>
                </c:pt>
                <c:pt idx="27">
                  <c:v>1.4254130618616023E-2</c:v>
                </c:pt>
                <c:pt idx="28">
                  <c:v>-3.1156600719741571E-2</c:v>
                </c:pt>
                <c:pt idx="29">
                  <c:v>2.348690739257215E-2</c:v>
                </c:pt>
                <c:pt idx="30">
                  <c:v>2.919217228794016E-2</c:v>
                </c:pt>
                <c:pt idx="31">
                  <c:v>2.0132933622825915E-2</c:v>
                </c:pt>
                <c:pt idx="32">
                  <c:v>3.430288972608609E-2</c:v>
                </c:pt>
                <c:pt idx="33">
                  <c:v>-2.2996576010822284E-3</c:v>
                </c:pt>
                <c:pt idx="34">
                  <c:v>-2.6008299345368469E-2</c:v>
                </c:pt>
                <c:pt idx="35">
                  <c:v>-3.029994793530684E-2</c:v>
                </c:pt>
              </c:numCache>
            </c:numRef>
          </c:xVal>
          <c:yVal>
            <c:numRef>
              <c:f>Summary!$Z$63:$Z$98</c:f>
              <c:numCache>
                <c:formatCode>General</c:formatCode>
                <c:ptCount val="36"/>
                <c:pt idx="0">
                  <c:v>-9.483793980363843E-2</c:v>
                </c:pt>
                <c:pt idx="1">
                  <c:v>-3.3698885015268153E-2</c:v>
                </c:pt>
                <c:pt idx="2">
                  <c:v>3.9788133385335586E-2</c:v>
                </c:pt>
                <c:pt idx="3">
                  <c:v>-6.5256083937536735E-2</c:v>
                </c:pt>
                <c:pt idx="4">
                  <c:v>-0.12660624310567059</c:v>
                </c:pt>
                <c:pt idx="5">
                  <c:v>-0.17218249739018585</c:v>
                </c:pt>
                <c:pt idx="6">
                  <c:v>6.2444262940657136E-4</c:v>
                </c:pt>
                <c:pt idx="7">
                  <c:v>-3.8144117529864206E-2</c:v>
                </c:pt>
                <c:pt idx="8">
                  <c:v>1.084892767970401E-2</c:v>
                </c:pt>
                <c:pt idx="9">
                  <c:v>8.8458900627122194E-2</c:v>
                </c:pt>
                <c:pt idx="10">
                  <c:v>-0.26072561842168762</c:v>
                </c:pt>
                <c:pt idx="11">
                  <c:v>-0.10338803014527462</c:v>
                </c:pt>
                <c:pt idx="12">
                  <c:v>-0.14516915557076343</c:v>
                </c:pt>
                <c:pt idx="13">
                  <c:v>-9.5609147941082662E-2</c:v>
                </c:pt>
                <c:pt idx="14">
                  <c:v>-0.27092686166002072</c:v>
                </c:pt>
                <c:pt idx="15">
                  <c:v>-2.221372689538563E-2</c:v>
                </c:pt>
                <c:pt idx="16">
                  <c:v>-5.4266524848816527E-2</c:v>
                </c:pt>
                <c:pt idx="17">
                  <c:v>2.3364291017784325E-2</c:v>
                </c:pt>
                <c:pt idx="18">
                  <c:v>9.559133440955464E-2</c:v>
                </c:pt>
                <c:pt idx="19">
                  <c:v>-9.6221101680618565E-2</c:v>
                </c:pt>
                <c:pt idx="20">
                  <c:v>-5.1328982905056858E-2</c:v>
                </c:pt>
                <c:pt idx="21">
                  <c:v>-4.2270105982350092E-2</c:v>
                </c:pt>
                <c:pt idx="22">
                  <c:v>-5.3071630005003964E-2</c:v>
                </c:pt>
                <c:pt idx="23">
                  <c:v>-8.7553035762878567E-2</c:v>
                </c:pt>
                <c:pt idx="24">
                  <c:v>0.13221491130495955</c:v>
                </c:pt>
                <c:pt idx="25">
                  <c:v>6.7297603720798793E-2</c:v>
                </c:pt>
                <c:pt idx="26">
                  <c:v>-0.16955000118762559</c:v>
                </c:pt>
                <c:pt idx="27">
                  <c:v>-3.010978437085738E-2</c:v>
                </c:pt>
                <c:pt idx="28">
                  <c:v>-0.16030487741914742</c:v>
                </c:pt>
                <c:pt idx="29">
                  <c:v>-3.638899719767219E-3</c:v>
                </c:pt>
                <c:pt idx="30">
                  <c:v>1.2718412131983423E-2</c:v>
                </c:pt>
                <c:pt idx="31">
                  <c:v>-1.3254929106741378E-2</c:v>
                </c:pt>
                <c:pt idx="32">
                  <c:v>2.737112334786479E-2</c:v>
                </c:pt>
                <c:pt idx="33">
                  <c:v>-7.7570416121238939E-2</c:v>
                </c:pt>
                <c:pt idx="34">
                  <c:v>-0.14554441096722376</c:v>
                </c:pt>
                <c:pt idx="35">
                  <c:v>-0.15784880622865005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FD-4853-90BE-A76E3579C6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1253648"/>
        <c:axId val="1591254608"/>
      </c:scatterChart>
      <c:valAx>
        <c:axId val="15912536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X Variable 1</a:t>
                </a:r>
              </a:p>
            </c:rich>
          </c:tx>
          <c:overlay val="0"/>
        </c:title>
        <c:numFmt formatCode="0.0000%" sourceLinked="1"/>
        <c:majorTickMark val="out"/>
        <c:minorTickMark val="none"/>
        <c:tickLblPos val="nextTo"/>
        <c:crossAx val="1591254608"/>
        <c:crosses val="autoZero"/>
        <c:crossBetween val="midCat"/>
      </c:valAx>
      <c:valAx>
        <c:axId val="15912546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Y</a:t>
                </a:r>
              </a:p>
            </c:rich>
          </c:tx>
          <c:overlay val="0"/>
        </c:title>
        <c:numFmt formatCode="0.0000%" sourceLinked="1"/>
        <c:majorTickMark val="out"/>
        <c:minorTickMark val="none"/>
        <c:tickLblPos val="nextTo"/>
        <c:crossAx val="159125364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Summary!$D$23</c:f>
              <c:strCache>
                <c:ptCount val="1"/>
                <c:pt idx="0">
                  <c:v>Volume (Million)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Summary!$D$24:$D$83</c:f>
              <c:numCache>
                <c:formatCode>General</c:formatCode>
                <c:ptCount val="60"/>
                <c:pt idx="0">
                  <c:v>8510000</c:v>
                </c:pt>
                <c:pt idx="1">
                  <c:v>9690000</c:v>
                </c:pt>
                <c:pt idx="2">
                  <c:v>25150000</c:v>
                </c:pt>
                <c:pt idx="3">
                  <c:v>97480000</c:v>
                </c:pt>
                <c:pt idx="4">
                  <c:v>13650000</c:v>
                </c:pt>
                <c:pt idx="5">
                  <c:v>12980000</c:v>
                </c:pt>
                <c:pt idx="6">
                  <c:v>38140000</c:v>
                </c:pt>
                <c:pt idx="7">
                  <c:v>40220000</c:v>
                </c:pt>
                <c:pt idx="8">
                  <c:v>15130000</c:v>
                </c:pt>
                <c:pt idx="9">
                  <c:v>25540000</c:v>
                </c:pt>
                <c:pt idx="10">
                  <c:v>13700000</c:v>
                </c:pt>
                <c:pt idx="11">
                  <c:v>35320000</c:v>
                </c:pt>
                <c:pt idx="12">
                  <c:v>37420000</c:v>
                </c:pt>
                <c:pt idx="13">
                  <c:v>73230000</c:v>
                </c:pt>
                <c:pt idx="14">
                  <c:v>14430000</c:v>
                </c:pt>
                <c:pt idx="15">
                  <c:v>28750000</c:v>
                </c:pt>
                <c:pt idx="16">
                  <c:v>82290000</c:v>
                </c:pt>
                <c:pt idx="17">
                  <c:v>45980000</c:v>
                </c:pt>
                <c:pt idx="18">
                  <c:v>50780000</c:v>
                </c:pt>
                <c:pt idx="19">
                  <c:v>45820000</c:v>
                </c:pt>
                <c:pt idx="20">
                  <c:v>26690000</c:v>
                </c:pt>
                <c:pt idx="21">
                  <c:v>59830000</c:v>
                </c:pt>
                <c:pt idx="22">
                  <c:v>75130000</c:v>
                </c:pt>
                <c:pt idx="23">
                  <c:v>59320000</c:v>
                </c:pt>
                <c:pt idx="24">
                  <c:v>147010000</c:v>
                </c:pt>
                <c:pt idx="25">
                  <c:v>41740000</c:v>
                </c:pt>
                <c:pt idx="26">
                  <c:v>20850000</c:v>
                </c:pt>
                <c:pt idx="27">
                  <c:v>11520000</c:v>
                </c:pt>
                <c:pt idx="28">
                  <c:v>17620000</c:v>
                </c:pt>
                <c:pt idx="29">
                  <c:v>14970000</c:v>
                </c:pt>
                <c:pt idx="30">
                  <c:v>45130000</c:v>
                </c:pt>
                <c:pt idx="31">
                  <c:v>80520000</c:v>
                </c:pt>
                <c:pt idx="32">
                  <c:v>14500000</c:v>
                </c:pt>
                <c:pt idx="33">
                  <c:v>53410000</c:v>
                </c:pt>
                <c:pt idx="34">
                  <c:v>14930000</c:v>
                </c:pt>
                <c:pt idx="35">
                  <c:v>11390000</c:v>
                </c:pt>
                <c:pt idx="36">
                  <c:v>7010000</c:v>
                </c:pt>
                <c:pt idx="37">
                  <c:v>5960000</c:v>
                </c:pt>
                <c:pt idx="38">
                  <c:v>6480000</c:v>
                </c:pt>
                <c:pt idx="39">
                  <c:v>9390000</c:v>
                </c:pt>
                <c:pt idx="40">
                  <c:v>9980000</c:v>
                </c:pt>
                <c:pt idx="41">
                  <c:v>9510000</c:v>
                </c:pt>
                <c:pt idx="42">
                  <c:v>11700000</c:v>
                </c:pt>
                <c:pt idx="43">
                  <c:v>8870000</c:v>
                </c:pt>
                <c:pt idx="44">
                  <c:v>7290000</c:v>
                </c:pt>
                <c:pt idx="45">
                  <c:v>5680000</c:v>
                </c:pt>
                <c:pt idx="46">
                  <c:v>3520000</c:v>
                </c:pt>
                <c:pt idx="47">
                  <c:v>3910000</c:v>
                </c:pt>
                <c:pt idx="48">
                  <c:v>4450000</c:v>
                </c:pt>
                <c:pt idx="49">
                  <c:v>8940000</c:v>
                </c:pt>
                <c:pt idx="50">
                  <c:v>8029999.9999999991</c:v>
                </c:pt>
                <c:pt idx="51">
                  <c:v>9250000</c:v>
                </c:pt>
                <c:pt idx="52">
                  <c:v>5530000</c:v>
                </c:pt>
                <c:pt idx="53">
                  <c:v>7750000</c:v>
                </c:pt>
                <c:pt idx="54">
                  <c:v>20360000</c:v>
                </c:pt>
                <c:pt idx="55">
                  <c:v>75610000</c:v>
                </c:pt>
                <c:pt idx="56">
                  <c:v>50400000</c:v>
                </c:pt>
                <c:pt idx="57">
                  <c:v>58840000</c:v>
                </c:pt>
                <c:pt idx="58">
                  <c:v>42810000</c:v>
                </c:pt>
                <c:pt idx="59">
                  <c:v>23510000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C7-4673-9AEB-93D9B607EC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92573552"/>
        <c:axId val="1392560112"/>
      </c:barChart>
      <c:catAx>
        <c:axId val="13925735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92560112"/>
        <c:crosses val="autoZero"/>
        <c:auto val="1"/>
        <c:lblAlgn val="ctr"/>
        <c:lblOffset val="100"/>
        <c:noMultiLvlLbl val="0"/>
      </c:catAx>
      <c:valAx>
        <c:axId val="1392560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92573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38100">
              <a:noFill/>
            </a:ln>
          </c:spPr>
          <c:xVal>
            <c:numRef>
              <c:f>CAPM!$C$2:$C$60</c:f>
              <c:numCache>
                <c:formatCode>0.000%</c:formatCode>
                <c:ptCount val="59"/>
                <c:pt idx="0">
                  <c:v>-2.8032285081682996E-3</c:v>
                </c:pt>
                <c:pt idx="1">
                  <c:v>1.8521455289600006E-2</c:v>
                </c:pt>
                <c:pt idx="2">
                  <c:v>4.4152983877309607E-2</c:v>
                </c:pt>
                <c:pt idx="3">
                  <c:v>7.514623553485914E-3</c:v>
                </c:pt>
                <c:pt idx="4">
                  <c:v>-1.3883691316309352E-2</c:v>
                </c:pt>
                <c:pt idx="5">
                  <c:v>-2.9780227739192405E-2</c:v>
                </c:pt>
                <c:pt idx="6">
                  <c:v>3.0493084740585808E-2</c:v>
                </c:pt>
                <c:pt idx="7">
                  <c:v>1.6971003158643107E-2</c:v>
                </c:pt>
                <c:pt idx="8">
                  <c:v>3.4059281690265772E-2</c:v>
                </c:pt>
                <c:pt idx="9">
                  <c:v>6.1128855114090719E-2</c:v>
                </c:pt>
                <c:pt idx="10">
                  <c:v>-6.0663172609701985E-2</c:v>
                </c:pt>
                <c:pt idx="11">
                  <c:v>-5.7854135224584859E-3</c:v>
                </c:pt>
                <c:pt idx="12">
                  <c:v>-2.0358247392682546E-2</c:v>
                </c:pt>
                <c:pt idx="13">
                  <c:v>-3.0722181045922284E-3</c:v>
                </c:pt>
                <c:pt idx="14">
                  <c:v>-6.4221263050494262E-2</c:v>
                </c:pt>
                <c:pt idx="15">
                  <c:v>2.2527362252369305E-2</c:v>
                </c:pt>
                <c:pt idx="16">
                  <c:v>1.1347670587906642E-2</c:v>
                </c:pt>
                <c:pt idx="17">
                  <c:v>3.8424513811085394E-2</c:v>
                </c:pt>
                <c:pt idx="18">
                  <c:v>6.3616575862233918E-2</c:v>
                </c:pt>
                <c:pt idx="19">
                  <c:v>-3.2856613781206767E-3</c:v>
                </c:pt>
                <c:pt idx="20">
                  <c:v>1.2372255500286942E-2</c:v>
                </c:pt>
                <c:pt idx="21">
                  <c:v>1.5531900126922026E-2</c:v>
                </c:pt>
                <c:pt idx="22">
                  <c:v>1.176443782129105E-2</c:v>
                </c:pt>
                <c:pt idx="23">
                  <c:v>-2.6232767638379318E-4</c:v>
                </c:pt>
                <c:pt idx="24">
                  <c:v>7.6390508981434194E-2</c:v>
                </c:pt>
                <c:pt idx="25">
                  <c:v>5.3748008831137117E-2</c:v>
                </c:pt>
                <c:pt idx="26">
                  <c:v>-2.8862039695351373E-2</c:v>
                </c:pt>
                <c:pt idx="27">
                  <c:v>1.9773297285282689E-2</c:v>
                </c:pt>
                <c:pt idx="28">
                  <c:v>-2.5637434053074906E-2</c:v>
                </c:pt>
                <c:pt idx="29">
                  <c:v>2.9006074059238815E-2</c:v>
                </c:pt>
                <c:pt idx="30">
                  <c:v>3.4711338954606825E-2</c:v>
                </c:pt>
                <c:pt idx="31">
                  <c:v>2.565210028949258E-2</c:v>
                </c:pt>
                <c:pt idx="32">
                  <c:v>3.9822056392752755E-2</c:v>
                </c:pt>
                <c:pt idx="33">
                  <c:v>3.2195090655844378E-3</c:v>
                </c:pt>
                <c:pt idx="34">
                  <c:v>-2.0489132678701803E-2</c:v>
                </c:pt>
                <c:pt idx="35">
                  <c:v>-2.4780781268640174E-2</c:v>
                </c:pt>
                <c:pt idx="36">
                  <c:v>-3.5434273529685763E-2</c:v>
                </c:pt>
                <c:pt idx="37">
                  <c:v>4.0589680531975814E-2</c:v>
                </c:pt>
                <c:pt idx="38">
                  <c:v>5.2301306531627435E-2</c:v>
                </c:pt>
                <c:pt idx="39">
                  <c:v>-3.8161322818150267E-2</c:v>
                </c:pt>
                <c:pt idx="40">
                  <c:v>3.4430214865457824E-2</c:v>
                </c:pt>
                <c:pt idx="41">
                  <c:v>8.3719949376114669E-2</c:v>
                </c:pt>
                <c:pt idx="42">
                  <c:v>-4.9712380948179848E-2</c:v>
                </c:pt>
                <c:pt idx="43">
                  <c:v>-3.0756036118482731E-2</c:v>
                </c:pt>
                <c:pt idx="44">
                  <c:v>-2.0956988615441312E-2</c:v>
                </c:pt>
                <c:pt idx="45">
                  <c:v>3.9168838577291303E-2</c:v>
                </c:pt>
                <c:pt idx="46">
                  <c:v>-3.1991595559867449E-2</c:v>
                </c:pt>
                <c:pt idx="47">
                  <c:v>-8.185877513300963E-4</c:v>
                </c:pt>
                <c:pt idx="48">
                  <c:v>2.1601288411623641E-2</c:v>
                </c:pt>
                <c:pt idx="49">
                  <c:v>-3.9737040444249035E-2</c:v>
                </c:pt>
                <c:pt idx="50">
                  <c:v>3.0320399087917201E-3</c:v>
                </c:pt>
                <c:pt idx="51">
                  <c:v>2.7969886925890988E-2</c:v>
                </c:pt>
                <c:pt idx="52">
                  <c:v>8.3291140120818716E-2</c:v>
                </c:pt>
                <c:pt idx="53">
                  <c:v>2.6393913281980434E-3</c:v>
                </c:pt>
                <c:pt idx="54">
                  <c:v>8.8614604142238061E-3</c:v>
                </c:pt>
                <c:pt idx="55">
                  <c:v>6.3018341706496755E-2</c:v>
                </c:pt>
                <c:pt idx="56">
                  <c:v>-4.0652403385876409E-3</c:v>
                </c:pt>
                <c:pt idx="57">
                  <c:v>1.1057664298936155E-2</c:v>
                </c:pt>
                <c:pt idx="58">
                  <c:v>6.3546296614860345E-2</c:v>
                </c:pt>
              </c:numCache>
            </c:numRef>
          </c:xVal>
          <c:yVal>
            <c:numRef>
              <c:f>CAPM!$D$2:$D$60</c:f>
              <c:numCache>
                <c:formatCode>0%</c:formatCode>
                <c:ptCount val="59"/>
                <c:pt idx="0">
                  <c:v>-6.8121955322308303E-2</c:v>
                </c:pt>
                <c:pt idx="1">
                  <c:v>-4.0304263883605029E-2</c:v>
                </c:pt>
                <c:pt idx="2">
                  <c:v>1.0024747808234933E-2</c:v>
                </c:pt>
                <c:pt idx="3">
                  <c:v>5.6246326742928406E-2</c:v>
                </c:pt>
                <c:pt idx="4">
                  <c:v>-2.1754539314371713E-2</c:v>
                </c:pt>
                <c:pt idx="5">
                  <c:v>-0.11208343801186135</c:v>
                </c:pt>
                <c:pt idx="6">
                  <c:v>-1.1769168579633936E-2</c:v>
                </c:pt>
                <c:pt idx="7">
                  <c:v>0.13032942072992404</c:v>
                </c:pt>
                <c:pt idx="8">
                  <c:v>-3.9906936899340786E-3</c:v>
                </c:pt>
                <c:pt idx="9">
                  <c:v>7.8419123203137917E-2</c:v>
                </c:pt>
                <c:pt idx="10">
                  <c:v>-0.14346572964775456</c:v>
                </c:pt>
                <c:pt idx="11">
                  <c:v>-0.1683988255848583</c:v>
                </c:pt>
                <c:pt idx="12">
                  <c:v>-6.5232223050083624E-2</c:v>
                </c:pt>
                <c:pt idx="13">
                  <c:v>0.12297436631903137</c:v>
                </c:pt>
                <c:pt idx="14">
                  <c:v>-9.0635807041604399E-2</c:v>
                </c:pt>
                <c:pt idx="15">
                  <c:v>-5.4254576154429607E-2</c:v>
                </c:pt>
                <c:pt idx="16">
                  <c:v>-7.5590756018505345E-2</c:v>
                </c:pt>
                <c:pt idx="17">
                  <c:v>-5.023583036629309E-4</c:v>
                </c:pt>
                <c:pt idx="18">
                  <c:v>-0.14836227561944554</c:v>
                </c:pt>
                <c:pt idx="19">
                  <c:v>0.11208631294710904</c:v>
                </c:pt>
                <c:pt idx="20">
                  <c:v>2.7483648372491178E-3</c:v>
                </c:pt>
                <c:pt idx="21">
                  <c:v>-0.10161382611812822</c:v>
                </c:pt>
                <c:pt idx="22">
                  <c:v>1.3052197070620695E-2</c:v>
                </c:pt>
                <c:pt idx="23">
                  <c:v>2.4397550677698651E-2</c:v>
                </c:pt>
                <c:pt idx="24">
                  <c:v>0.33205868988895532</c:v>
                </c:pt>
                <c:pt idx="25">
                  <c:v>0.22798737431577676</c:v>
                </c:pt>
                <c:pt idx="26">
                  <c:v>-8.3186658163504318E-2</c:v>
                </c:pt>
                <c:pt idx="27">
                  <c:v>-3.6111365338103579E-2</c:v>
                </c:pt>
                <c:pt idx="28">
                  <c:v>-4.2946191675177138E-2</c:v>
                </c:pt>
                <c:pt idx="29">
                  <c:v>1.3805878084799227E-2</c:v>
                </c:pt>
                <c:pt idx="30">
                  <c:v>-1.448366551143212E-2</c:v>
                </c:pt>
                <c:pt idx="31">
                  <c:v>-0.35267689991523049</c:v>
                </c:pt>
                <c:pt idx="32">
                  <c:v>8.5281272751847201E-2</c:v>
                </c:pt>
                <c:pt idx="33">
                  <c:v>0.24594548621451603</c:v>
                </c:pt>
                <c:pt idx="34">
                  <c:v>-1.133631613293709</c:v>
                </c:pt>
                <c:pt idx="35">
                  <c:v>-0.56056401482232565</c:v>
                </c:pt>
                <c:pt idx="36">
                  <c:v>1.6408580442609143E-2</c:v>
                </c:pt>
                <c:pt idx="37">
                  <c:v>8.2647382927021305E-3</c:v>
                </c:pt>
                <c:pt idx="38">
                  <c:v>7.5799303125490006E-2</c:v>
                </c:pt>
                <c:pt idx="39">
                  <c:v>-0.11448236994473315</c:v>
                </c:pt>
                <c:pt idx="40">
                  <c:v>0.18027023024860125</c:v>
                </c:pt>
                <c:pt idx="41">
                  <c:v>0.26763201599347469</c:v>
                </c:pt>
                <c:pt idx="42">
                  <c:v>-2.0873348148128705E-3</c:v>
                </c:pt>
                <c:pt idx="43">
                  <c:v>-2.1882350183148647E-2</c:v>
                </c:pt>
                <c:pt idx="44">
                  <c:v>0.13110088994426847</c:v>
                </c:pt>
                <c:pt idx="45">
                  <c:v>0.30258463982939238</c:v>
                </c:pt>
                <c:pt idx="46">
                  <c:v>-0.13673290379984371</c:v>
                </c:pt>
                <c:pt idx="47">
                  <c:v>5.6152823285560267E-2</c:v>
                </c:pt>
                <c:pt idx="48">
                  <c:v>7.3460380390787561E-2</c:v>
                </c:pt>
                <c:pt idx="49">
                  <c:v>0.10564877866682235</c:v>
                </c:pt>
                <c:pt idx="50">
                  <c:v>1.1388371528449022E-2</c:v>
                </c:pt>
                <c:pt idx="51">
                  <c:v>-2.0413485088270945E-2</c:v>
                </c:pt>
                <c:pt idx="52">
                  <c:v>0.48695895423250518</c:v>
                </c:pt>
                <c:pt idx="53">
                  <c:v>-0.13332830214701727</c:v>
                </c:pt>
                <c:pt idx="54">
                  <c:v>-0.27959681990807522</c:v>
                </c:pt>
                <c:pt idx="55">
                  <c:v>0.15883847385130262</c:v>
                </c:pt>
                <c:pt idx="56">
                  <c:v>0.1799346618774971</c:v>
                </c:pt>
                <c:pt idx="57">
                  <c:v>0.6295193470544288</c:v>
                </c:pt>
                <c:pt idx="58">
                  <c:v>0.29578457365329847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84-4D29-A494-B497AC958088}"/>
            </c:ext>
          </c:extLst>
        </c:ser>
        <c:ser>
          <c:idx val="1"/>
          <c:order val="1"/>
          <c:tx>
            <c:v>Predicted Y</c:v>
          </c:tx>
          <c:spPr>
            <a:ln w="38100">
              <a:noFill/>
            </a:ln>
          </c:spPr>
          <c:xVal>
            <c:numRef>
              <c:f>CAPM!$C$2:$C$60</c:f>
              <c:numCache>
                <c:formatCode>0.000%</c:formatCode>
                <c:ptCount val="59"/>
                <c:pt idx="0">
                  <c:v>-2.8032285081682996E-3</c:v>
                </c:pt>
                <c:pt idx="1">
                  <c:v>1.8521455289600006E-2</c:v>
                </c:pt>
                <c:pt idx="2">
                  <c:v>4.4152983877309607E-2</c:v>
                </c:pt>
                <c:pt idx="3">
                  <c:v>7.514623553485914E-3</c:v>
                </c:pt>
                <c:pt idx="4">
                  <c:v>-1.3883691316309352E-2</c:v>
                </c:pt>
                <c:pt idx="5">
                  <c:v>-2.9780227739192405E-2</c:v>
                </c:pt>
                <c:pt idx="6">
                  <c:v>3.0493084740585808E-2</c:v>
                </c:pt>
                <c:pt idx="7">
                  <c:v>1.6971003158643107E-2</c:v>
                </c:pt>
                <c:pt idx="8">
                  <c:v>3.4059281690265772E-2</c:v>
                </c:pt>
                <c:pt idx="9">
                  <c:v>6.1128855114090719E-2</c:v>
                </c:pt>
                <c:pt idx="10">
                  <c:v>-6.0663172609701985E-2</c:v>
                </c:pt>
                <c:pt idx="11">
                  <c:v>-5.7854135224584859E-3</c:v>
                </c:pt>
                <c:pt idx="12">
                  <c:v>-2.0358247392682546E-2</c:v>
                </c:pt>
                <c:pt idx="13">
                  <c:v>-3.0722181045922284E-3</c:v>
                </c:pt>
                <c:pt idx="14">
                  <c:v>-6.4221263050494262E-2</c:v>
                </c:pt>
                <c:pt idx="15">
                  <c:v>2.2527362252369305E-2</c:v>
                </c:pt>
                <c:pt idx="16">
                  <c:v>1.1347670587906642E-2</c:v>
                </c:pt>
                <c:pt idx="17">
                  <c:v>3.8424513811085394E-2</c:v>
                </c:pt>
                <c:pt idx="18">
                  <c:v>6.3616575862233918E-2</c:v>
                </c:pt>
                <c:pt idx="19">
                  <c:v>-3.2856613781206767E-3</c:v>
                </c:pt>
                <c:pt idx="20">
                  <c:v>1.2372255500286942E-2</c:v>
                </c:pt>
                <c:pt idx="21">
                  <c:v>1.5531900126922026E-2</c:v>
                </c:pt>
                <c:pt idx="22">
                  <c:v>1.176443782129105E-2</c:v>
                </c:pt>
                <c:pt idx="23">
                  <c:v>-2.6232767638379318E-4</c:v>
                </c:pt>
                <c:pt idx="24">
                  <c:v>7.6390508981434194E-2</c:v>
                </c:pt>
                <c:pt idx="25">
                  <c:v>5.3748008831137117E-2</c:v>
                </c:pt>
                <c:pt idx="26">
                  <c:v>-2.8862039695351373E-2</c:v>
                </c:pt>
                <c:pt idx="27">
                  <c:v>1.9773297285282689E-2</c:v>
                </c:pt>
                <c:pt idx="28">
                  <c:v>-2.5637434053074906E-2</c:v>
                </c:pt>
                <c:pt idx="29">
                  <c:v>2.9006074059238815E-2</c:v>
                </c:pt>
                <c:pt idx="30">
                  <c:v>3.4711338954606825E-2</c:v>
                </c:pt>
                <c:pt idx="31">
                  <c:v>2.565210028949258E-2</c:v>
                </c:pt>
                <c:pt idx="32">
                  <c:v>3.9822056392752755E-2</c:v>
                </c:pt>
                <c:pt idx="33">
                  <c:v>3.2195090655844378E-3</c:v>
                </c:pt>
                <c:pt idx="34">
                  <c:v>-2.0489132678701803E-2</c:v>
                </c:pt>
                <c:pt idx="35">
                  <c:v>-2.4780781268640174E-2</c:v>
                </c:pt>
                <c:pt idx="36">
                  <c:v>-3.5434273529685763E-2</c:v>
                </c:pt>
                <c:pt idx="37">
                  <c:v>4.0589680531975814E-2</c:v>
                </c:pt>
                <c:pt idx="38">
                  <c:v>5.2301306531627435E-2</c:v>
                </c:pt>
                <c:pt idx="39">
                  <c:v>-3.8161322818150267E-2</c:v>
                </c:pt>
                <c:pt idx="40">
                  <c:v>3.4430214865457824E-2</c:v>
                </c:pt>
                <c:pt idx="41">
                  <c:v>8.3719949376114669E-2</c:v>
                </c:pt>
                <c:pt idx="42">
                  <c:v>-4.9712380948179848E-2</c:v>
                </c:pt>
                <c:pt idx="43">
                  <c:v>-3.0756036118482731E-2</c:v>
                </c:pt>
                <c:pt idx="44">
                  <c:v>-2.0956988615441312E-2</c:v>
                </c:pt>
                <c:pt idx="45">
                  <c:v>3.9168838577291303E-2</c:v>
                </c:pt>
                <c:pt idx="46">
                  <c:v>-3.1991595559867449E-2</c:v>
                </c:pt>
                <c:pt idx="47">
                  <c:v>-8.185877513300963E-4</c:v>
                </c:pt>
                <c:pt idx="48">
                  <c:v>2.1601288411623641E-2</c:v>
                </c:pt>
                <c:pt idx="49">
                  <c:v>-3.9737040444249035E-2</c:v>
                </c:pt>
                <c:pt idx="50">
                  <c:v>3.0320399087917201E-3</c:v>
                </c:pt>
                <c:pt idx="51">
                  <c:v>2.7969886925890988E-2</c:v>
                </c:pt>
                <c:pt idx="52">
                  <c:v>8.3291140120818716E-2</c:v>
                </c:pt>
                <c:pt idx="53">
                  <c:v>2.6393913281980434E-3</c:v>
                </c:pt>
                <c:pt idx="54">
                  <c:v>8.8614604142238061E-3</c:v>
                </c:pt>
                <c:pt idx="55">
                  <c:v>6.3018341706496755E-2</c:v>
                </c:pt>
                <c:pt idx="56">
                  <c:v>-4.0652403385876409E-3</c:v>
                </c:pt>
                <c:pt idx="57">
                  <c:v>1.1057664298936155E-2</c:v>
                </c:pt>
                <c:pt idx="58">
                  <c:v>6.3546296614860345E-2</c:v>
                </c:pt>
              </c:numCache>
            </c:numRef>
          </c:xVal>
          <c:yVal>
            <c:numRef>
              <c:f>CAPM!$J$42:$J$100</c:f>
              <c:numCache>
                <c:formatCode>General</c:formatCode>
                <c:ptCount val="59"/>
                <c:pt idx="0">
                  <c:v>-3.1598857821168683E-2</c:v>
                </c:pt>
                <c:pt idx="1">
                  <c:v>2.7505319762133398E-2</c:v>
                </c:pt>
                <c:pt idx="2">
                  <c:v>9.8546486503279379E-2</c:v>
                </c:pt>
                <c:pt idx="3">
                  <c:v>-3.0015681115753978E-3</c:v>
                </c:pt>
                <c:pt idx="4">
                  <c:v>-6.2309823935755584E-2</c:v>
                </c:pt>
                <c:pt idx="5">
                  <c:v>-0.10636917415204514</c:v>
                </c:pt>
                <c:pt idx="6">
                  <c:v>6.0686271927370368E-2</c:v>
                </c:pt>
                <c:pt idx="7">
                  <c:v>2.32080369066626E-2</c:v>
                </c:pt>
                <c:pt idx="8">
                  <c:v>7.0570457775555068E-2</c:v>
                </c:pt>
                <c:pt idx="9">
                  <c:v>0.14559735570842952</c:v>
                </c:pt>
                <c:pt idx="10">
                  <c:v>-0.19196533469689461</c:v>
                </c:pt>
                <c:pt idx="11">
                  <c:v>-3.9864377457587183E-2</c:v>
                </c:pt>
                <c:pt idx="12">
                  <c:v>-8.0254911222398334E-2</c:v>
                </c:pt>
                <c:pt idx="13">
                  <c:v>-3.2344398014208471E-2</c:v>
                </c:pt>
                <c:pt idx="14">
                  <c:v>-0.20182705228503744</c:v>
                </c:pt>
                <c:pt idx="15">
                  <c:v>3.8608219985886365E-2</c:v>
                </c:pt>
                <c:pt idx="16">
                  <c:v>7.6222279904451726E-3</c:v>
                </c:pt>
                <c:pt idx="17">
                  <c:v>8.2669275132380676E-2</c:v>
                </c:pt>
                <c:pt idx="18">
                  <c:v>0.15249240232531339</c:v>
                </c:pt>
                <c:pt idx="19">
                  <c:v>-3.2935984237114482E-2</c:v>
                </c:pt>
                <c:pt idx="20">
                  <c:v>1.0462000396206927E-2</c:v>
                </c:pt>
                <c:pt idx="21">
                  <c:v>1.9219372786052631E-2</c:v>
                </c:pt>
                <c:pt idx="22">
                  <c:v>8.7773534219149421E-3</c:v>
                </c:pt>
                <c:pt idx="23">
                  <c:v>-2.4556415578762817E-2</c:v>
                </c:pt>
                <c:pt idx="24">
                  <c:v>0.18789704507051785</c:v>
                </c:pt>
                <c:pt idx="25">
                  <c:v>0.1251403654168127</c:v>
                </c:pt>
                <c:pt idx="26">
                  <c:v>-0.10382429471970747</c:v>
                </c:pt>
                <c:pt idx="27">
                  <c:v>3.0974965189035711E-2</c:v>
                </c:pt>
                <c:pt idx="28">
                  <c:v>-9.4886874295345924E-2</c:v>
                </c:pt>
                <c:pt idx="29">
                  <c:v>5.6564825428463895E-2</c:v>
                </c:pt>
                <c:pt idx="30">
                  <c:v>7.2377720603533258E-2</c:v>
                </c:pt>
                <c:pt idx="31">
                  <c:v>4.7268844152644728E-2</c:v>
                </c:pt>
                <c:pt idx="32">
                  <c:v>8.6542748976608963E-2</c:v>
                </c:pt>
                <c:pt idx="33">
                  <c:v>-1.4906045188047201E-2</c:v>
                </c:pt>
                <c:pt idx="34">
                  <c:v>-8.0617677079153183E-2</c:v>
                </c:pt>
                <c:pt idx="35">
                  <c:v>-9.251254796166497E-2</c:v>
                </c:pt>
                <c:pt idx="36">
                  <c:v>-0.12204010881323876</c:v>
                </c:pt>
                <c:pt idx="37">
                  <c:v>8.8670320661710211E-2</c:v>
                </c:pt>
                <c:pt idx="38">
                  <c:v>0.12113063892186038</c:v>
                </c:pt>
                <c:pt idx="39">
                  <c:v>-0.12959848608871757</c:v>
                </c:pt>
                <c:pt idx="40">
                  <c:v>7.1598548061254097E-2</c:v>
                </c:pt>
                <c:pt idx="41">
                  <c:v>0.20821155715340081</c:v>
                </c:pt>
                <c:pt idx="42">
                  <c:v>-0.16161376929135818</c:v>
                </c:pt>
                <c:pt idx="43">
                  <c:v>-0.10907375595423277</c:v>
                </c:pt>
                <c:pt idx="44">
                  <c:v>-8.1914401599464615E-2</c:v>
                </c:pt>
                <c:pt idx="45">
                  <c:v>8.4732269527921872E-2</c:v>
                </c:pt>
                <c:pt idx="46">
                  <c:v>-0.11249827213139507</c:v>
                </c:pt>
                <c:pt idx="47">
                  <c:v>-2.6098163844008742E-2</c:v>
                </c:pt>
                <c:pt idx="48">
                  <c:v>3.6041484025918204E-2</c:v>
                </c:pt>
                <c:pt idx="49">
                  <c:v>-0.13396579560089086</c:v>
                </c:pt>
                <c:pt idx="50">
                  <c:v>-1.5425640715912813E-2</c:v>
                </c:pt>
                <c:pt idx="51">
                  <c:v>5.3692895934938097E-2</c:v>
                </c:pt>
                <c:pt idx="52">
                  <c:v>0.20702305566776436</c:v>
                </c:pt>
                <c:pt idx="53">
                  <c:v>-1.6513918115724426E-2</c:v>
                </c:pt>
                <c:pt idx="54">
                  <c:v>7.313681301859068E-4</c:v>
                </c:pt>
                <c:pt idx="55">
                  <c:v>0.15083431735146791</c:v>
                </c:pt>
                <c:pt idx="56">
                  <c:v>-3.5096690288215104E-2</c:v>
                </c:pt>
                <c:pt idx="57">
                  <c:v>6.8184372582524647E-3</c:v>
                </c:pt>
                <c:pt idx="58">
                  <c:v>0.15229761410915127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E84-4D29-A494-B497AC958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0374144"/>
        <c:axId val="1816760416"/>
      </c:scatterChart>
      <c:valAx>
        <c:axId val="15303741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X Variable 1</a:t>
                </a:r>
              </a:p>
            </c:rich>
          </c:tx>
          <c:overlay val="0"/>
        </c:title>
        <c:numFmt formatCode="0.000%" sourceLinked="1"/>
        <c:majorTickMark val="out"/>
        <c:minorTickMark val="none"/>
        <c:tickLblPos val="nextTo"/>
        <c:crossAx val="1816760416"/>
        <c:crosses val="autoZero"/>
        <c:crossBetween val="midCat"/>
      </c:valAx>
      <c:valAx>
        <c:axId val="18167604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Y</a:t>
                </a:r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crossAx val="153037414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ATGL_Stock Price trend Last 5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'Adani Total Gas Stock Price His'!$C$3</c:f>
              <c:strCache>
                <c:ptCount val="1"/>
                <c:pt idx="0">
                  <c:v>Open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'Adani Total Gas Stock Price His'!$C$4:$C$63</c:f>
              <c:numCache>
                <c:formatCode>General</c:formatCode>
                <c:ptCount val="60"/>
                <c:pt idx="0">
                  <c:v>609.04999999999995</c:v>
                </c:pt>
                <c:pt idx="1">
                  <c:v>631.6</c:v>
                </c:pt>
                <c:pt idx="2">
                  <c:v>630.04999999999995</c:v>
                </c:pt>
                <c:pt idx="3">
                  <c:v>593.9</c:v>
                </c:pt>
                <c:pt idx="4">
                  <c:v>617</c:v>
                </c:pt>
                <c:pt idx="5">
                  <c:v>677</c:v>
                </c:pt>
                <c:pt idx="6">
                  <c:v>685</c:v>
                </c:pt>
                <c:pt idx="7">
                  <c:v>599</c:v>
                </c:pt>
                <c:pt idx="8">
                  <c:v>599.04999999999995</c:v>
                </c:pt>
                <c:pt idx="9">
                  <c:v>559.4</c:v>
                </c:pt>
                <c:pt idx="10">
                  <c:v>647.5</c:v>
                </c:pt>
                <c:pt idx="11">
                  <c:v>751</c:v>
                </c:pt>
                <c:pt idx="12">
                  <c:v>812</c:v>
                </c:pt>
                <c:pt idx="13">
                  <c:v>721.8</c:v>
                </c:pt>
                <c:pt idx="14">
                  <c:v>784.05</c:v>
                </c:pt>
                <c:pt idx="15">
                  <c:v>832</c:v>
                </c:pt>
                <c:pt idx="16">
                  <c:v>883</c:v>
                </c:pt>
                <c:pt idx="17">
                  <c:v>896.55</c:v>
                </c:pt>
                <c:pt idx="18" formatCode="#,##0.00">
                  <c:v>1190</c:v>
                </c:pt>
                <c:pt idx="19">
                  <c:v>955</c:v>
                </c:pt>
                <c:pt idx="20">
                  <c:v>947.95</c:v>
                </c:pt>
                <c:pt idx="21" formatCode="#,##0.00">
                  <c:v>1033</c:v>
                </c:pt>
                <c:pt idx="22" formatCode="#,##0.00">
                  <c:v>1018.3</c:v>
                </c:pt>
                <c:pt idx="23">
                  <c:v>992.4</c:v>
                </c:pt>
                <c:pt idx="24">
                  <c:v>716.7</c:v>
                </c:pt>
                <c:pt idx="25">
                  <c:v>570</c:v>
                </c:pt>
                <c:pt idx="26">
                  <c:v>619.85</c:v>
                </c:pt>
                <c:pt idx="27">
                  <c:v>625.15</c:v>
                </c:pt>
                <c:pt idx="28">
                  <c:v>667.95</c:v>
                </c:pt>
                <c:pt idx="29">
                  <c:v>664</c:v>
                </c:pt>
                <c:pt idx="30">
                  <c:v>653</c:v>
                </c:pt>
                <c:pt idx="31">
                  <c:v>950</c:v>
                </c:pt>
                <c:pt idx="32">
                  <c:v>872.95</c:v>
                </c:pt>
                <c:pt idx="33">
                  <c:v>650</c:v>
                </c:pt>
                <c:pt idx="34" formatCode="#,##0.00">
                  <c:v>1951</c:v>
                </c:pt>
                <c:pt idx="35" formatCode="#,##0.00">
                  <c:v>3700</c:v>
                </c:pt>
                <c:pt idx="36" formatCode="#,##0.00">
                  <c:v>3650.95</c:v>
                </c:pt>
                <c:pt idx="37" formatCode="#,##0.00">
                  <c:v>3620.9</c:v>
                </c:pt>
                <c:pt idx="38" formatCode="#,##0.00">
                  <c:v>3329.9</c:v>
                </c:pt>
                <c:pt idx="39" formatCode="#,##0.00">
                  <c:v>3684.05</c:v>
                </c:pt>
                <c:pt idx="40" formatCode="#,##0.00">
                  <c:v>3144</c:v>
                </c:pt>
                <c:pt idx="41" formatCode="#,##0.00">
                  <c:v>2392.5500000000002</c:v>
                </c:pt>
                <c:pt idx="42" formatCode="#,##0.00">
                  <c:v>2380.9</c:v>
                </c:pt>
                <c:pt idx="43" formatCode="#,##0.00">
                  <c:v>2451</c:v>
                </c:pt>
                <c:pt idx="44" formatCode="#,##0.00">
                  <c:v>2178.5500000000002</c:v>
                </c:pt>
                <c:pt idx="45" formatCode="#,##0.00">
                  <c:v>1592</c:v>
                </c:pt>
                <c:pt idx="46" formatCode="#,##0.00">
                  <c:v>1830</c:v>
                </c:pt>
                <c:pt idx="47" formatCode="#,##0.00">
                  <c:v>1685.05</c:v>
                </c:pt>
                <c:pt idx="48" formatCode="#,##0.00">
                  <c:v>1620</c:v>
                </c:pt>
                <c:pt idx="49" formatCode="#,##0.00">
                  <c:v>1374.55</c:v>
                </c:pt>
                <c:pt idx="50" formatCode="#,##0.00">
                  <c:v>1425</c:v>
                </c:pt>
                <c:pt idx="51" formatCode="#,##0.00">
                  <c:v>1525.1</c:v>
                </c:pt>
                <c:pt idx="52">
                  <c:v>892.55</c:v>
                </c:pt>
                <c:pt idx="53">
                  <c:v>968.9</c:v>
                </c:pt>
                <c:pt idx="54" formatCode="#,##0.00">
                  <c:v>1360</c:v>
                </c:pt>
                <c:pt idx="55" formatCode="#,##0.00">
                  <c:v>1135</c:v>
                </c:pt>
                <c:pt idx="56">
                  <c:v>985</c:v>
                </c:pt>
                <c:pt idx="57">
                  <c:v>523.29999999999995</c:v>
                </c:pt>
                <c:pt idx="58">
                  <c:v>385.25</c:v>
                </c:pt>
                <c:pt idx="59">
                  <c:v>377.4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DA-4ADF-AE2E-F95A5DFAAB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4938656"/>
        <c:axId val="1484939616"/>
      </c:lineChart>
      <c:catAx>
        <c:axId val="14849386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84939616"/>
        <c:crosses val="autoZero"/>
        <c:auto val="1"/>
        <c:lblAlgn val="ctr"/>
        <c:lblOffset val="100"/>
        <c:noMultiLvlLbl val="0"/>
      </c:catAx>
      <c:valAx>
        <c:axId val="148493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8493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Nifty</a:t>
            </a:r>
            <a:r>
              <a:rPr lang="en-US" baseline="0"/>
              <a:t> 50_Stock </a:t>
            </a:r>
            <a:r>
              <a:rPr lang="en-US"/>
              <a:t>Price trend Last 5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'Nifty 50 Historical Data'!$B$3</c:f>
              <c:strCache>
                <c:ptCount val="1"/>
                <c:pt idx="0">
                  <c:v>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'Nifty 50 Historical Data'!$B$4:$B$63</c:f>
              <c:numCache>
                <c:formatCode>#,##0.00</c:formatCode>
                <c:ptCount val="60"/>
                <c:pt idx="0">
                  <c:v>26129.599999999999</c:v>
                </c:pt>
                <c:pt idx="1">
                  <c:v>26202.95</c:v>
                </c:pt>
                <c:pt idx="2">
                  <c:v>25722.1</c:v>
                </c:pt>
                <c:pt idx="3">
                  <c:v>24611.1</c:v>
                </c:pt>
                <c:pt idx="4">
                  <c:v>24426.85</c:v>
                </c:pt>
                <c:pt idx="5">
                  <c:v>24768.35</c:v>
                </c:pt>
                <c:pt idx="6">
                  <c:v>25517.05</c:v>
                </c:pt>
                <c:pt idx="7">
                  <c:v>24750.7</c:v>
                </c:pt>
                <c:pt idx="8">
                  <c:v>24334.2</c:v>
                </c:pt>
                <c:pt idx="9">
                  <c:v>23519.35</c:v>
                </c:pt>
                <c:pt idx="10">
                  <c:v>22124.7</c:v>
                </c:pt>
                <c:pt idx="11">
                  <c:v>23508.400000000001</c:v>
                </c:pt>
                <c:pt idx="12">
                  <c:v>23644.799999999999</c:v>
                </c:pt>
                <c:pt idx="13">
                  <c:v>24131.1</c:v>
                </c:pt>
                <c:pt idx="14">
                  <c:v>24205.35</c:v>
                </c:pt>
                <c:pt idx="15">
                  <c:v>25810.85</c:v>
                </c:pt>
                <c:pt idx="16">
                  <c:v>25235.9</c:v>
                </c:pt>
                <c:pt idx="17">
                  <c:v>24951.15</c:v>
                </c:pt>
                <c:pt idx="18">
                  <c:v>24010.6</c:v>
                </c:pt>
                <c:pt idx="19">
                  <c:v>22530.7</c:v>
                </c:pt>
                <c:pt idx="20">
                  <c:v>22604.85</c:v>
                </c:pt>
                <c:pt idx="21">
                  <c:v>22326.9</c:v>
                </c:pt>
                <c:pt idx="22">
                  <c:v>21982.799999999999</c:v>
                </c:pt>
                <c:pt idx="23">
                  <c:v>21725.7</c:v>
                </c:pt>
                <c:pt idx="24">
                  <c:v>21731.4</c:v>
                </c:pt>
                <c:pt idx="25">
                  <c:v>20133.150000000001</c:v>
                </c:pt>
                <c:pt idx="26">
                  <c:v>19079.599999999999</c:v>
                </c:pt>
                <c:pt idx="27">
                  <c:v>19638.3</c:v>
                </c:pt>
                <c:pt idx="28">
                  <c:v>19253.8</c:v>
                </c:pt>
                <c:pt idx="29">
                  <c:v>19753.8</c:v>
                </c:pt>
                <c:pt idx="30">
                  <c:v>19189.05</c:v>
                </c:pt>
                <c:pt idx="31">
                  <c:v>18534.400000000001</c:v>
                </c:pt>
                <c:pt idx="32">
                  <c:v>18065</c:v>
                </c:pt>
                <c:pt idx="33">
                  <c:v>17359.75</c:v>
                </c:pt>
                <c:pt idx="34">
                  <c:v>17303.95</c:v>
                </c:pt>
                <c:pt idx="35">
                  <c:v>17662.150000000001</c:v>
                </c:pt>
                <c:pt idx="36">
                  <c:v>18105.3</c:v>
                </c:pt>
                <c:pt idx="37">
                  <c:v>18758.349999999999</c:v>
                </c:pt>
                <c:pt idx="38">
                  <c:v>18012.2</c:v>
                </c:pt>
                <c:pt idx="39">
                  <c:v>17094.349999999999</c:v>
                </c:pt>
                <c:pt idx="40">
                  <c:v>17759.3</c:v>
                </c:pt>
                <c:pt idx="41">
                  <c:v>17158.25</c:v>
                </c:pt>
                <c:pt idx="42">
                  <c:v>15780.25</c:v>
                </c:pt>
                <c:pt idx="43">
                  <c:v>16584.55</c:v>
                </c:pt>
                <c:pt idx="44">
                  <c:v>17102.55</c:v>
                </c:pt>
                <c:pt idx="45">
                  <c:v>17464.75</c:v>
                </c:pt>
                <c:pt idx="46">
                  <c:v>16793.900000000001</c:v>
                </c:pt>
                <c:pt idx="47">
                  <c:v>17339.849999999999</c:v>
                </c:pt>
                <c:pt idx="48">
                  <c:v>17354.05</c:v>
                </c:pt>
                <c:pt idx="49">
                  <c:v>16983.2</c:v>
                </c:pt>
                <c:pt idx="50">
                  <c:v>17671.650000000001</c:v>
                </c:pt>
                <c:pt idx="51">
                  <c:v>17618.150000000001</c:v>
                </c:pt>
                <c:pt idx="52">
                  <c:v>17132.2</c:v>
                </c:pt>
                <c:pt idx="53">
                  <c:v>15763.05</c:v>
                </c:pt>
                <c:pt idx="54">
                  <c:v>15721.5</c:v>
                </c:pt>
                <c:pt idx="55">
                  <c:v>15582.8</c:v>
                </c:pt>
                <c:pt idx="56">
                  <c:v>14631.1</c:v>
                </c:pt>
                <c:pt idx="57">
                  <c:v>14690.7</c:v>
                </c:pt>
                <c:pt idx="58">
                  <c:v>14529.15</c:v>
                </c:pt>
                <c:pt idx="59">
                  <c:v>13634.6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CD-4A8B-9DB1-845EE5BCC2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2980176"/>
        <c:axId val="1282978256"/>
      </c:lineChart>
      <c:catAx>
        <c:axId val="12829801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82978256"/>
        <c:crosses val="autoZero"/>
        <c:auto val="1"/>
        <c:lblAlgn val="ctr"/>
        <c:lblOffset val="100"/>
        <c:noMultiLvlLbl val="0"/>
      </c:catAx>
      <c:valAx>
        <c:axId val="128297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82980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24683</xdr:colOff>
      <xdr:row>55</xdr:row>
      <xdr:rowOff>98326</xdr:rowOff>
    </xdr:from>
    <xdr:to>
      <xdr:col>7</xdr:col>
      <xdr:colOff>340019</xdr:colOff>
      <xdr:row>67</xdr:row>
      <xdr:rowOff>28816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635E18-726C-8CBD-81D6-7F539F24A5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17930</xdr:colOff>
      <xdr:row>28</xdr:row>
      <xdr:rowOff>98611</xdr:rowOff>
    </xdr:from>
    <xdr:to>
      <xdr:col>7</xdr:col>
      <xdr:colOff>201707</xdr:colOff>
      <xdr:row>41</xdr:row>
      <xdr:rowOff>49306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AC338DF-0350-7112-94D6-8BA416D079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58272</xdr:colOff>
      <xdr:row>68</xdr:row>
      <xdr:rowOff>121025</xdr:rowOff>
    </xdr:from>
    <xdr:to>
      <xdr:col>8</xdr:col>
      <xdr:colOff>8965</xdr:colOff>
      <xdr:row>79</xdr:row>
      <xdr:rowOff>152400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A1A9D4F8-14A5-D7EB-6DD0-2B236ABF8C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452719</xdr:colOff>
      <xdr:row>22</xdr:row>
      <xdr:rowOff>94129</xdr:rowOff>
    </xdr:from>
    <xdr:to>
      <xdr:col>21</xdr:col>
      <xdr:colOff>291354</xdr:colOff>
      <xdr:row>36</xdr:row>
      <xdr:rowOff>31376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A9D86530-D976-E45C-EE64-8AF531617D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312420</xdr:colOff>
      <xdr:row>11</xdr:row>
      <xdr:rowOff>169816</xdr:rowOff>
    </xdr:from>
    <xdr:to>
      <xdr:col>21</xdr:col>
      <xdr:colOff>312420</xdr:colOff>
      <xdr:row>22</xdr:row>
      <xdr:rowOff>18506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AD2B801B-37A1-2E83-9571-9FE0487490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637135</xdr:colOff>
      <xdr:row>22</xdr:row>
      <xdr:rowOff>130629</xdr:rowOff>
    </xdr:from>
    <xdr:to>
      <xdr:col>31</xdr:col>
      <xdr:colOff>470007</xdr:colOff>
      <xdr:row>36</xdr:row>
      <xdr:rowOff>67876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D2D1BC36-28BC-7F19-764F-34B805F268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210286</xdr:colOff>
      <xdr:row>11</xdr:row>
      <xdr:rowOff>103735</xdr:rowOff>
    </xdr:from>
    <xdr:to>
      <xdr:col>31</xdr:col>
      <xdr:colOff>210286</xdr:colOff>
      <xdr:row>21</xdr:row>
      <xdr:rowOff>126595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E3A20AEB-85D5-4CB4-E004-9F6061237C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43543</xdr:colOff>
      <xdr:row>42</xdr:row>
      <xdr:rowOff>48985</xdr:rowOff>
    </xdr:from>
    <xdr:to>
      <xdr:col>7</xdr:col>
      <xdr:colOff>206829</xdr:colOff>
      <xdr:row>55</xdr:row>
      <xdr:rowOff>21772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3C9841-5244-4DB0-BFDC-8F5C95BABA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586740</xdr:colOff>
      <xdr:row>11</xdr:row>
      <xdr:rowOff>152400</xdr:rowOff>
    </xdr:from>
    <xdr:to>
      <xdr:col>22</xdr:col>
      <xdr:colOff>586740</xdr:colOff>
      <xdr:row>21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B95A7C-CA40-8ECB-1C5F-03E6AD6F39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285750</xdr:colOff>
      <xdr:row>2</xdr:row>
      <xdr:rowOff>133350</xdr:rowOff>
    </xdr:from>
    <xdr:to>
      <xdr:col>16</xdr:col>
      <xdr:colOff>102870</xdr:colOff>
      <xdr:row>18</xdr:row>
      <xdr:rowOff>72390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A1C9C4-EF41-7783-2A36-31BAE71F05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235295</xdr:colOff>
      <xdr:row>3</xdr:row>
      <xdr:rowOff>64226</xdr:rowOff>
    </xdr:from>
    <xdr:to>
      <xdr:col>16</xdr:col>
      <xdr:colOff>48605</xdr:colOff>
      <xdr:row>18</xdr:row>
      <xdr:rowOff>64225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9163C5-D169-3710-B6E4-DF3514B248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26</xdr:row>
      <xdr:rowOff>7620</xdr:rowOff>
    </xdr:from>
    <xdr:to>
      <xdr:col>6</xdr:col>
      <xdr:colOff>488350</xdr:colOff>
      <xdr:row>49</xdr:row>
      <xdr:rowOff>171886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306D73-5FF8-B652-4858-3A9495257A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" y="1059180"/>
          <a:ext cx="5715670" cy="41952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10</xdr:col>
      <xdr:colOff>122661</xdr:colOff>
      <xdr:row>70</xdr:row>
      <xdr:rowOff>99448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FD47C0-382C-A109-9C38-86FCF5449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381500"/>
          <a:ext cx="8550381" cy="44809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7</xdr:col>
      <xdr:colOff>617798</xdr:colOff>
      <xdr:row>98</xdr:row>
      <xdr:rowOff>68981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A2A331F-F1F1-F8FA-0169-3C9DA3D21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9113520"/>
          <a:ext cx="6668078" cy="462574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10</xdr:col>
      <xdr:colOff>755176</xdr:colOff>
      <xdr:row>134</xdr:row>
      <xdr:rowOff>114826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D6923E0-6265-42BE-11EF-C9924DB71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4020800"/>
          <a:ext cx="9182896" cy="6073666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4</xdr:row>
      <xdr:rowOff>114300</xdr:rowOff>
    </xdr:from>
    <xdr:to>
      <xdr:col>4</xdr:col>
      <xdr:colOff>441960</xdr:colOff>
      <xdr:row>23</xdr:row>
      <xdr:rowOff>161995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6E510D8-7A1C-CD0B-00A6-93EC307B7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1500" y="1104900"/>
          <a:ext cx="3543300" cy="33776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2</xdr:col>
      <xdr:colOff>465041</xdr:colOff>
      <xdr:row>150</xdr:row>
      <xdr:rowOff>45921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898D8E2-27D0-3218-B5CE-075C70F665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3835360"/>
          <a:ext cx="2552921" cy="23243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10</xdr:col>
      <xdr:colOff>397005</xdr:colOff>
      <xdr:row>181</xdr:row>
      <xdr:rowOff>69026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6616EBB-EE04-93BF-5FE9-21B44E1E22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26464260"/>
          <a:ext cx="8824725" cy="515156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60BF64-151F-4F43-B566-59DFB8CB3B5E}" name="Table3" displayName="Table3" ref="B14:C19" totalsRowShown="0" headerRowDxfId="29" headerRowBorderDxfId="28" tableBorderDxfId="27" totalsRowBorderDxfId="26">
  <autoFilter ref="B14:C19" xr:uid="{DF60BF64-151F-4F43-B566-59DFB8CB3B5E}"/>
  <tableColumns count="2">
    <tableColumn id="1" xr3:uid="{4E678DB5-EDB8-47AF-9080-BE3A67BC001F}" name="Label" dataDxfId="25"/>
    <tableColumn id="2" xr3:uid="{9BBCB415-E5D6-489D-8150-A1DE54D7E5BD}" name="Value" dataDxfId="24">
      <calculatedColumnFormula>'Dividend '!C3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267208C-CD2D-4F0E-8614-E83E25229722}" name="Table4" displayName="Table4" ref="B22:G28" totalsRowShown="0" headerRowDxfId="23" dataDxfId="21" headerRowBorderDxfId="22" tableBorderDxfId="20">
  <autoFilter ref="B22:G28" xr:uid="{1267208C-CD2D-4F0E-8614-E83E25229722}"/>
  <tableColumns count="6">
    <tableColumn id="1" xr3:uid="{B7E96445-3F08-47B0-B99D-E7A76F5FF50E}" name="g ↓ \ kₑ →" dataDxfId="19"/>
    <tableColumn id="2" xr3:uid="{1E787BD8-2367-4A67-AA6C-283704672A59}" name="20%" dataDxfId="18">
      <calculatedColumnFormula>$C$17/($C$22-$B23)</calculatedColumnFormula>
    </tableColumn>
    <tableColumn id="3" xr3:uid="{12446DA4-C88D-4AE5-A332-D07FF2BE2ADD}" name="22%" dataDxfId="17">
      <calculatedColumnFormula>$C$17/($D$22-$B23)</calculatedColumnFormula>
    </tableColumn>
    <tableColumn id="4" xr3:uid="{81E534C3-F299-4BAA-AB43-E6F0F05F30C2}" name="24%" dataDxfId="16">
      <calculatedColumnFormula>$C$17/($E$22-$B23)</calculatedColumnFormula>
    </tableColumn>
    <tableColumn id="5" xr3:uid="{90523180-F4B2-460F-A653-EE4F650335D0}" name="26%" dataDxfId="15">
      <calculatedColumnFormula>$C$17/($F$22-$B23)</calculatedColumnFormula>
    </tableColumn>
    <tableColumn id="6" xr3:uid="{53D96FC9-D56C-4BA7-A028-E238ED579B24}" name="28%" dataDxfId="14">
      <calculatedColumnFormula>$C$17/($G$22-$B23)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D4041C-7719-413A-9419-4253C51BFA30}" name="Table1" displayName="Table1" ref="A1:F61" totalsRowShown="0" headerRowDxfId="13">
  <tableColumns count="6">
    <tableColumn id="1" xr3:uid="{034101F1-F099-4919-AB7F-85FEF6D18CC8}" name="Date" dataDxfId="12" dataCellStyle="Normal 2"/>
    <tableColumn id="2" xr3:uid="{29F6EE57-533C-4E39-9886-6DEA1C8E9B9D}" name="Price" dataDxfId="11" dataCellStyle="Normal 2">
      <calculatedColumnFormula>'Nifty 50 Historical Data'!B4</calculatedColumnFormula>
    </tableColumn>
    <tableColumn id="3" xr3:uid="{28363067-2D47-476B-AA62-A88058AC059D}" name="Rm = Ln return" dataDxfId="10" dataCellStyle="Percent"/>
    <tableColumn id="4" xr3:uid="{79B8E4A4-39AB-4E04-B124-C622B29C9CB4}" name="ATGL  (Ri)" dataDxfId="9"/>
    <tableColumn id="5" xr3:uid="{0EA98A2A-76C9-46D0-938E-55DFBAE6EECE}" name="Rf =10yrs govt bond = 6.623% pa" dataDxfId="8" dataCellStyle="Percent"/>
    <tableColumn id="6" xr3:uid="{C48F7B17-1BDB-426C-ADFB-EC869D8FB807}" name="Er = Rf+(Rm-Rf)*Beta" dataDxfId="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CD7FC6-F689-4F14-B255-F6E40F201A3A}" name="Table2" displayName="Table2" ref="B2:F9" totalsRowShown="0" headerRowDxfId="6" dataDxfId="5">
  <tableColumns count="5">
    <tableColumn id="1" xr3:uid="{11B58961-B0CB-4EA2-8B6E-1B0629772261}" name="Ex-Dividend Date" dataDxfId="4"/>
    <tableColumn id="2" xr3:uid="{BCA56B19-249C-419B-8F3F-0942BC729BEC}" name="Dividend" dataDxfId="3"/>
    <tableColumn id="3" xr3:uid="{966DB053-D304-497F-8073-DCAA755CC86B}" name="Type" dataDxfId="2"/>
    <tableColumn id="4" xr3:uid="{E880D72A-DE62-49EC-8CA0-896702E2BD20}" name="Payment Date" dataDxfId="1"/>
    <tableColumn id="5" xr3:uid="{2A9B3A9B-0A91-40AF-86E1-D88107BC9CA0}" name="Yield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s://tradingeconomics.com/india/government-bond-yiel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06DFA-3D4F-40C1-B7AF-AFC520E18E4C}">
  <dimension ref="B2:AG121"/>
  <sheetViews>
    <sheetView showGridLines="0" zoomScale="70" zoomScaleNormal="70" workbookViewId="0">
      <selection activeCell="E20" sqref="E20"/>
    </sheetView>
  </sheetViews>
  <sheetFormatPr defaultRowHeight="13.8"/>
  <cols>
    <col min="1" max="1" width="8.6640625" style="1"/>
    <col min="2" max="2" width="17.5" style="1" bestFit="1" customWidth="1"/>
    <col min="3" max="3" width="13.6640625" style="1" customWidth="1"/>
    <col min="4" max="4" width="11.33203125" style="1" bestFit="1" customWidth="1"/>
    <col min="5" max="5" width="14.4140625" style="1" customWidth="1"/>
    <col min="6" max="6" width="8.6640625" style="1"/>
    <col min="7" max="7" width="13.58203125" style="1" customWidth="1"/>
    <col min="8" max="8" width="4.1640625" style="1" customWidth="1"/>
    <col min="9" max="9" width="8.6640625" style="1"/>
    <col min="10" max="10" width="10.1640625" style="1" customWidth="1"/>
    <col min="11" max="11" width="12.33203125" style="1" customWidth="1"/>
    <col min="12" max="12" width="15.4140625" style="1" bestFit="1" customWidth="1"/>
    <col min="13" max="13" width="11.08203125" style="1" customWidth="1"/>
    <col min="14" max="20" width="8.6640625" style="1"/>
    <col min="21" max="21" width="9.75" style="1" customWidth="1"/>
    <col min="22" max="16384" width="8.6640625" style="1"/>
  </cols>
  <sheetData>
    <row r="2" spans="2:21">
      <c r="E2" s="65" t="s">
        <v>249</v>
      </c>
    </row>
    <row r="3" spans="2:21">
      <c r="B3" s="106" t="s">
        <v>256</v>
      </c>
      <c r="C3" s="107"/>
      <c r="E3" s="16" t="s">
        <v>253</v>
      </c>
      <c r="Q3" s="88" t="s">
        <v>268</v>
      </c>
      <c r="R3" s="88" t="s">
        <v>269</v>
      </c>
      <c r="S3" s="88" t="s">
        <v>270</v>
      </c>
      <c r="T3" s="88" t="s">
        <v>191</v>
      </c>
      <c r="U3" s="88" t="s">
        <v>186</v>
      </c>
    </row>
    <row r="4" spans="2:21" ht="15">
      <c r="B4" s="73" t="str">
        <f>DDM!B14</f>
        <v>Label</v>
      </c>
      <c r="C4" s="74" t="str">
        <f>DDM!C14</f>
        <v>Value</v>
      </c>
      <c r="E4" s="16" t="s">
        <v>254</v>
      </c>
      <c r="Q4" s="100" t="s">
        <v>271</v>
      </c>
      <c r="R4" s="100">
        <v>2.87</v>
      </c>
      <c r="S4" s="100">
        <v>0.14710000000000001</v>
      </c>
      <c r="T4" s="100" t="s">
        <v>272</v>
      </c>
      <c r="U4" s="100">
        <v>36</v>
      </c>
    </row>
    <row r="5" spans="2:21" ht="15">
      <c r="B5" s="71" t="str">
        <f>DDM!B15</f>
        <v>Latest Dividend (D₀)</v>
      </c>
      <c r="C5" s="72">
        <f>DDM!C15</f>
        <v>0.25</v>
      </c>
      <c r="Q5" s="100" t="s">
        <v>273</v>
      </c>
      <c r="R5" s="100">
        <v>2.77</v>
      </c>
      <c r="S5" s="100">
        <v>0.17069999999999999</v>
      </c>
      <c r="T5" s="100" t="s">
        <v>274</v>
      </c>
      <c r="U5" s="100">
        <v>59</v>
      </c>
    </row>
    <row r="6" spans="2:21">
      <c r="B6" s="66" t="str">
        <f>DDM!B16</f>
        <v>Growth Rate (g)</v>
      </c>
      <c r="C6" s="67">
        <f>DDM!C16</f>
        <v>0</v>
      </c>
      <c r="E6" s="65" t="s">
        <v>250</v>
      </c>
    </row>
    <row r="7" spans="2:21">
      <c r="B7" s="66" t="str">
        <f>DDM!B17</f>
        <v>Next Dividend (D₁)</v>
      </c>
      <c r="C7" s="67">
        <f>DDM!C17</f>
        <v>0.25</v>
      </c>
      <c r="E7" s="16" t="s">
        <v>255</v>
      </c>
    </row>
    <row r="8" spans="2:21">
      <c r="B8" s="66" t="str">
        <f>DDM!B18</f>
        <v>Required Return (kₑ)</v>
      </c>
      <c r="C8" s="68">
        <f>DDM!C18</f>
        <v>0.2493421995794764</v>
      </c>
      <c r="E8" s="16" t="s">
        <v>251</v>
      </c>
    </row>
    <row r="9" spans="2:21">
      <c r="B9" s="66" t="str">
        <f>DDM!B19</f>
        <v>DDM Valuation: Price (P₀)</v>
      </c>
      <c r="C9" s="70">
        <f>DDM!C19</f>
        <v>1.0026381431688378</v>
      </c>
      <c r="E9" s="16" t="s">
        <v>252</v>
      </c>
    </row>
    <row r="12" spans="2:21">
      <c r="B12" s="106" t="s">
        <v>257</v>
      </c>
      <c r="C12" s="107"/>
      <c r="E12" s="1" t="str">
        <f>CAPM!I20</f>
        <v>Regression Statistics</v>
      </c>
    </row>
    <row r="13" spans="2:21">
      <c r="B13" s="73" t="str">
        <f>CAPM!C65</f>
        <v>Monthly Rm (avg)</v>
      </c>
      <c r="C13" s="73">
        <f>CAPM!E65</f>
        <v>1.102471341932316E-2</v>
      </c>
      <c r="E13" s="1" t="str">
        <f>CAPM!I21</f>
        <v>Multiple R</v>
      </c>
      <c r="F13" s="1">
        <f>CAPM!J21</f>
        <v>0.41321227477354511</v>
      </c>
    </row>
    <row r="14" spans="2:21">
      <c r="B14" s="71" t="str">
        <f>CAPM!C65</f>
        <v>Monthly Rm (avg)</v>
      </c>
      <c r="C14" s="80">
        <f>CAPM!E65</f>
        <v>1.102471341932316E-2</v>
      </c>
      <c r="E14" s="1" t="str">
        <f>CAPM!I22</f>
        <v>R Square</v>
      </c>
      <c r="F14" s="1">
        <f>CAPM!J22</f>
        <v>0.17074438402352773</v>
      </c>
    </row>
    <row r="15" spans="2:21">
      <c r="B15" s="71" t="str">
        <f>CAPM!C66</f>
        <v>Annual Rm</v>
      </c>
      <c r="C15" s="80">
        <f>CAPM!E66</f>
        <v>0.13229656103187792</v>
      </c>
      <c r="E15" s="1" t="str">
        <f>CAPM!I23</f>
        <v>Adjusted R Square</v>
      </c>
      <c r="F15" s="1">
        <f>CAPM!J23</f>
        <v>0.15619603988358963</v>
      </c>
    </row>
    <row r="16" spans="2:21">
      <c r="B16" s="71" t="str">
        <f>CAPM!C67</f>
        <v>Monthly Rf</v>
      </c>
      <c r="C16" s="80">
        <f>CAPM!E67</f>
        <v>5.5191666666666687E-3</v>
      </c>
      <c r="E16" s="1" t="str">
        <f>CAPM!I24</f>
        <v>Standard Error</v>
      </c>
      <c r="F16" s="1">
        <f>CAPM!J24</f>
        <v>0.21858625896422759</v>
      </c>
    </row>
    <row r="17" spans="2:13">
      <c r="B17" s="71" t="str">
        <f>CAPM!C68</f>
        <v>Annual Rf</v>
      </c>
      <c r="C17" s="80">
        <f>CAPM!E68</f>
        <v>6.6230000000000025E-2</v>
      </c>
      <c r="E17" s="1" t="str">
        <f>CAPM!I25</f>
        <v>Observations</v>
      </c>
      <c r="F17" s="1">
        <f>CAPM!J25</f>
        <v>59</v>
      </c>
    </row>
    <row r="18" spans="2:13">
      <c r="B18" s="66" t="str">
        <f>CAPM!C69</f>
        <v>Beta</v>
      </c>
      <c r="C18" s="69">
        <f>CAPM!E69</f>
        <v>2.7716320740703089</v>
      </c>
    </row>
    <row r="19" spans="2:13">
      <c r="B19" s="71" t="str">
        <f>CAPM!C70</f>
        <v>ke (annual CAPM)</v>
      </c>
      <c r="C19" s="80">
        <f>CAPM!E70</f>
        <v>0.2493421995794764</v>
      </c>
    </row>
    <row r="23" spans="2:13" ht="37.200000000000003" customHeight="1">
      <c r="B23" s="85" t="str">
        <f>'Adani Total Gas Stock Price His'!A3</f>
        <v>Date</v>
      </c>
      <c r="C23" s="85" t="str">
        <f>'Adani Total Gas Stock Price His'!B3</f>
        <v>Price</v>
      </c>
      <c r="D23" s="85" t="str">
        <f>'Adani Total Gas Stock Price His'!J3</f>
        <v>Volume (Million)</v>
      </c>
      <c r="E23" s="103" t="s">
        <v>261</v>
      </c>
      <c r="F23" s="104" t="s">
        <v>260</v>
      </c>
      <c r="G23" s="105" t="s">
        <v>259</v>
      </c>
      <c r="I23" s="88" t="str">
        <f>CAPM!C1</f>
        <v>Rm = Ln return</v>
      </c>
      <c r="J23" s="88" t="str">
        <f>CAPM!D1</f>
        <v>ATGL  (Ri)</v>
      </c>
      <c r="K23" s="88" t="str">
        <f>CAPM!E1</f>
        <v>Rf =10yrs govt bond = 6.623% pa</v>
      </c>
      <c r="L23" s="88" t="s">
        <v>262</v>
      </c>
      <c r="M23" s="88" t="s">
        <v>263</v>
      </c>
    </row>
    <row r="24" spans="2:13">
      <c r="B24" s="81">
        <f>'Adani Total Gas Stock Price His'!A4</f>
        <v>45669</v>
      </c>
      <c r="C24" s="82">
        <f>'Adani Total Gas Stock Price His'!B4</f>
        <v>566.70000000000005</v>
      </c>
      <c r="D24" s="82">
        <f>'Adani Total Gas Stock Price His'!J4</f>
        <v>8510000</v>
      </c>
      <c r="E24" s="101">
        <f>AVERAGE(B24:B35)</f>
        <v>45663.5</v>
      </c>
      <c r="F24" s="102">
        <f>AVERAGE(C24:C35)</f>
        <v>615.66666666666663</v>
      </c>
      <c r="G24" s="67">
        <f>AVERAGE(D24:D35)</f>
        <v>27959166.666666668</v>
      </c>
      <c r="I24" s="98">
        <f>CAPM!C2</f>
        <v>-2.8032285081682996E-3</v>
      </c>
      <c r="J24" s="98">
        <f>CAPM!D2</f>
        <v>-6.8121955322308303E-2</v>
      </c>
      <c r="K24" s="98">
        <f>CAPM!E2</f>
        <v>5.5191666666666661E-3</v>
      </c>
      <c r="L24" s="98">
        <f>(J24-K24)</f>
        <v>-7.3641121988974975E-2</v>
      </c>
      <c r="M24" s="99">
        <f>(I24-K24)</f>
        <v>-8.3223951748349657E-3</v>
      </c>
    </row>
    <row r="25" spans="2:13">
      <c r="B25" s="81">
        <f>'Adani Total Gas Stock Price His'!A5</f>
        <v>45668</v>
      </c>
      <c r="C25" s="82">
        <f>'Adani Total Gas Stock Price His'!B5</f>
        <v>606.65</v>
      </c>
      <c r="D25" s="82">
        <f>'Adani Total Gas Stock Price His'!J5</f>
        <v>9690000</v>
      </c>
      <c r="E25" s="101">
        <f>AVERAGE(B36:B47)</f>
        <v>45297.5</v>
      </c>
      <c r="F25" s="102">
        <f>AVERAGE(C36:C47)</f>
        <v>886.0916666666667</v>
      </c>
      <c r="G25" s="67">
        <f>AVERAGE(D36:D47)</f>
        <v>49972500</v>
      </c>
      <c r="I25" s="98">
        <f>CAPM!C3</f>
        <v>1.8521455289600006E-2</v>
      </c>
      <c r="J25" s="98">
        <f>CAPM!D3</f>
        <v>-4.0304263883605029E-2</v>
      </c>
      <c r="K25" s="98">
        <f>CAPM!E3</f>
        <v>5.5191666666666661E-3</v>
      </c>
      <c r="L25" s="98">
        <f t="shared" ref="L25:L82" si="0">(J25-K25)</f>
        <v>-4.5823430550271695E-2</v>
      </c>
      <c r="M25" s="99">
        <f t="shared" ref="M25:M82" si="1">(I25-K25)</f>
        <v>1.3002288622933341E-2</v>
      </c>
    </row>
    <row r="26" spans="2:13">
      <c r="B26" s="81">
        <f>'Adani Total Gas Stock Price His'!A6</f>
        <v>45667</v>
      </c>
      <c r="C26" s="82">
        <f>'Adani Total Gas Stock Price His'!B6</f>
        <v>631.6</v>
      </c>
      <c r="D26" s="82">
        <f>'Adani Total Gas Stock Price His'!J6</f>
        <v>25150000</v>
      </c>
      <c r="E26" s="101">
        <f>AVERAGE(B48:B59)</f>
        <v>44932.5</v>
      </c>
      <c r="F26" s="102">
        <f>AVERAGE(C48:C59)</f>
        <v>841.00416666666661</v>
      </c>
      <c r="G26" s="67">
        <f>AVERAGE(D48:D59)</f>
        <v>39465833.333333336</v>
      </c>
      <c r="I26" s="98">
        <f>CAPM!C4</f>
        <v>4.4152983877309607E-2</v>
      </c>
      <c r="J26" s="98">
        <f>CAPM!D4</f>
        <v>1.0024747808234933E-2</v>
      </c>
      <c r="K26" s="98">
        <f>CAPM!E4</f>
        <v>5.5191666666666661E-3</v>
      </c>
      <c r="L26" s="98">
        <f t="shared" si="0"/>
        <v>4.5055811415682665E-3</v>
      </c>
      <c r="M26" s="99">
        <f t="shared" si="1"/>
        <v>3.8633817210642941E-2</v>
      </c>
    </row>
    <row r="27" spans="2:13">
      <c r="B27" s="81">
        <f>'Adani Total Gas Stock Price His'!A7</f>
        <v>45666</v>
      </c>
      <c r="C27" s="82">
        <f>'Adani Total Gas Stock Price His'!B7</f>
        <v>625.29999999999995</v>
      </c>
      <c r="D27" s="82">
        <f>'Adani Total Gas Stock Price His'!J7</f>
        <v>97480000</v>
      </c>
      <c r="E27" s="101">
        <f>AVERAGE(B60:B71)</f>
        <v>44567.5</v>
      </c>
      <c r="F27" s="102">
        <f>AVERAGE(C60:C71)</f>
        <v>2828.4791666666665</v>
      </c>
      <c r="G27" s="67">
        <f>AVERAGE(D60:D71)</f>
        <v>7441666.666666667</v>
      </c>
      <c r="I27" s="98">
        <f>CAPM!C5</f>
        <v>7.514623553485914E-3</v>
      </c>
      <c r="J27" s="98">
        <f>CAPM!D5</f>
        <v>5.6246326742928406E-2</v>
      </c>
      <c r="K27" s="98">
        <f>CAPM!E5</f>
        <v>5.5191666666666661E-3</v>
      </c>
      <c r="L27" s="98">
        <f t="shared" si="0"/>
        <v>5.072716007626174E-2</v>
      </c>
      <c r="M27" s="99">
        <f t="shared" si="1"/>
        <v>1.9954568868192479E-3</v>
      </c>
    </row>
    <row r="28" spans="2:13">
      <c r="B28" s="81">
        <f>'Adani Total Gas Stock Price His'!A8</f>
        <v>45665</v>
      </c>
      <c r="C28" s="82">
        <f>'Adani Total Gas Stock Price His'!B8</f>
        <v>591.1</v>
      </c>
      <c r="D28" s="82">
        <f>'Adani Total Gas Stock Price His'!J8</f>
        <v>13650000</v>
      </c>
      <c r="E28" s="101">
        <f>AVERAGE(B72:B83)</f>
        <v>44202.5</v>
      </c>
      <c r="F28" s="102">
        <f>AVERAGE(C72:C83)</f>
        <v>1158.6041666666667</v>
      </c>
      <c r="G28" s="67">
        <f>AVERAGE(D72:D83)</f>
        <v>26290000</v>
      </c>
      <c r="I28" s="98">
        <f>CAPM!C6</f>
        <v>-1.3883691316309352E-2</v>
      </c>
      <c r="J28" s="98">
        <f>CAPM!D6</f>
        <v>-2.1754539314371713E-2</v>
      </c>
      <c r="K28" s="98">
        <f>CAPM!E6</f>
        <v>5.5191666666666661E-3</v>
      </c>
      <c r="L28" s="98">
        <f t="shared" si="0"/>
        <v>-2.7273705981038378E-2</v>
      </c>
      <c r="M28" s="99">
        <f t="shared" si="1"/>
        <v>-1.9402857982976019E-2</v>
      </c>
    </row>
    <row r="29" spans="2:13">
      <c r="B29" s="81">
        <f>'Adani Total Gas Stock Price His'!A9</f>
        <v>45664</v>
      </c>
      <c r="C29" s="82">
        <f>'Adani Total Gas Stock Price His'!B9</f>
        <v>604.1</v>
      </c>
      <c r="D29" s="82">
        <f>'Adani Total Gas Stock Price His'!J9</f>
        <v>12980000</v>
      </c>
      <c r="I29" s="98">
        <f>CAPM!C7</f>
        <v>-2.9780227739192405E-2</v>
      </c>
      <c r="J29" s="98">
        <f>CAPM!D7</f>
        <v>-0.11208343801186135</v>
      </c>
      <c r="K29" s="98">
        <f>CAPM!E7</f>
        <v>5.5191666666666661E-3</v>
      </c>
      <c r="L29" s="98">
        <f t="shared" si="0"/>
        <v>-0.11760260467852802</v>
      </c>
      <c r="M29" s="99">
        <f t="shared" si="1"/>
        <v>-3.5299394405859073E-2</v>
      </c>
    </row>
    <row r="30" spans="2:13">
      <c r="B30" s="81">
        <f>'Adani Total Gas Stock Price His'!A10</f>
        <v>45663</v>
      </c>
      <c r="C30" s="82">
        <f>'Adani Total Gas Stock Price His'!B10</f>
        <v>675.75</v>
      </c>
      <c r="D30" s="82">
        <f>'Adani Total Gas Stock Price His'!J10</f>
        <v>38140000</v>
      </c>
      <c r="I30" s="98">
        <f>CAPM!C8</f>
        <v>3.0493084740585808E-2</v>
      </c>
      <c r="J30" s="98">
        <f>CAPM!D8</f>
        <v>-1.1769168579633936E-2</v>
      </c>
      <c r="K30" s="98">
        <f>CAPM!E8</f>
        <v>5.5191666666666661E-3</v>
      </c>
      <c r="L30" s="98">
        <f t="shared" si="0"/>
        <v>-1.7288335246300603E-2</v>
      </c>
      <c r="M30" s="99">
        <f t="shared" si="1"/>
        <v>2.4973918073919143E-2</v>
      </c>
    </row>
    <row r="31" spans="2:13">
      <c r="B31" s="81">
        <f>'Adani Total Gas Stock Price His'!A11</f>
        <v>45662</v>
      </c>
      <c r="C31" s="82">
        <f>'Adani Total Gas Stock Price His'!B11</f>
        <v>683.75</v>
      </c>
      <c r="D31" s="82">
        <f>'Adani Total Gas Stock Price His'!J11</f>
        <v>40220000</v>
      </c>
      <c r="I31" s="98">
        <f>CAPM!C9</f>
        <v>1.6971003158643107E-2</v>
      </c>
      <c r="J31" s="98">
        <f>CAPM!D9</f>
        <v>0.13032942072992404</v>
      </c>
      <c r="K31" s="98">
        <f>CAPM!E9</f>
        <v>5.5191666666666661E-3</v>
      </c>
      <c r="L31" s="98">
        <f t="shared" si="0"/>
        <v>0.12481025406325737</v>
      </c>
      <c r="M31" s="99">
        <f t="shared" si="1"/>
        <v>1.1451836491976442E-2</v>
      </c>
    </row>
    <row r="32" spans="2:13">
      <c r="B32" s="81">
        <f>'Adani Total Gas Stock Price His'!A12</f>
        <v>45661</v>
      </c>
      <c r="C32" s="82">
        <f>'Adani Total Gas Stock Price His'!B12</f>
        <v>600.20000000000005</v>
      </c>
      <c r="D32" s="82">
        <f>'Adani Total Gas Stock Price His'!J12</f>
        <v>15130000</v>
      </c>
      <c r="I32" s="98">
        <f>CAPM!C10</f>
        <v>3.4059281690265772E-2</v>
      </c>
      <c r="J32" s="98">
        <f>CAPM!D10</f>
        <v>-3.9906936899340786E-3</v>
      </c>
      <c r="K32" s="98">
        <f>CAPM!E10</f>
        <v>5.5191666666666661E-3</v>
      </c>
      <c r="L32" s="98">
        <f t="shared" si="0"/>
        <v>-9.5098603566007439E-3</v>
      </c>
      <c r="M32" s="99">
        <f t="shared" si="1"/>
        <v>2.8540115023599107E-2</v>
      </c>
    </row>
    <row r="33" spans="2:33">
      <c r="B33" s="81">
        <f>'Adani Total Gas Stock Price His'!A13</f>
        <v>45660</v>
      </c>
      <c r="C33" s="82">
        <f>'Adani Total Gas Stock Price His'!B13</f>
        <v>602.6</v>
      </c>
      <c r="D33" s="82">
        <f>'Adani Total Gas Stock Price His'!J13</f>
        <v>25540000</v>
      </c>
      <c r="I33" s="98">
        <f>CAPM!C11</f>
        <v>6.1128855114090719E-2</v>
      </c>
      <c r="J33" s="98">
        <f>CAPM!D11</f>
        <v>7.8419123203137917E-2</v>
      </c>
      <c r="K33" s="98">
        <f>CAPM!E11</f>
        <v>5.5191666666666661E-3</v>
      </c>
      <c r="L33" s="98">
        <f t="shared" si="0"/>
        <v>7.2899956536471244E-2</v>
      </c>
      <c r="M33" s="99">
        <f t="shared" si="1"/>
        <v>5.5609688447424054E-2</v>
      </c>
    </row>
    <row r="34" spans="2:33">
      <c r="B34" s="81">
        <f>'Adani Total Gas Stock Price His'!A14</f>
        <v>45659</v>
      </c>
      <c r="C34" s="82">
        <f>'Adani Total Gas Stock Price His'!B14</f>
        <v>557.15</v>
      </c>
      <c r="D34" s="82">
        <f>'Adani Total Gas Stock Price His'!J14</f>
        <v>13700000</v>
      </c>
      <c r="I34" s="98">
        <f>CAPM!C12</f>
        <v>-6.0663172609701985E-2</v>
      </c>
      <c r="J34" s="98">
        <f>CAPM!D12</f>
        <v>-0.14346572964775456</v>
      </c>
      <c r="K34" s="98">
        <f>CAPM!E12</f>
        <v>5.5191666666666661E-3</v>
      </c>
      <c r="L34" s="98">
        <f t="shared" si="0"/>
        <v>-0.14898489631442122</v>
      </c>
      <c r="M34" s="99">
        <f t="shared" si="1"/>
        <v>-6.6182339276368657E-2</v>
      </c>
    </row>
    <row r="35" spans="2:33">
      <c r="B35" s="81">
        <f>'Adani Total Gas Stock Price His'!A15</f>
        <v>45658</v>
      </c>
      <c r="C35" s="82">
        <f>'Adani Total Gas Stock Price His'!B15</f>
        <v>643.1</v>
      </c>
      <c r="D35" s="82">
        <f>'Adani Total Gas Stock Price His'!J15</f>
        <v>35320000</v>
      </c>
      <c r="I35" s="98">
        <f>CAPM!C13</f>
        <v>-5.7854135224584859E-3</v>
      </c>
      <c r="J35" s="98">
        <f>CAPM!D13</f>
        <v>-0.1683988255848583</v>
      </c>
      <c r="K35" s="98">
        <f>CAPM!E13</f>
        <v>5.5191666666666661E-3</v>
      </c>
      <c r="L35" s="98">
        <f t="shared" si="0"/>
        <v>-0.17391799225152496</v>
      </c>
      <c r="M35" s="99">
        <f t="shared" si="1"/>
        <v>-1.1304580189125151E-2</v>
      </c>
    </row>
    <row r="36" spans="2:33">
      <c r="B36" s="83">
        <f>'Adani Total Gas Stock Price His'!A16</f>
        <v>45303</v>
      </c>
      <c r="C36" s="84">
        <f>'Adani Total Gas Stock Price His'!B16</f>
        <v>761.05</v>
      </c>
      <c r="D36" s="84">
        <f>'Adani Total Gas Stock Price His'!J16</f>
        <v>37420000</v>
      </c>
      <c r="I36" s="98">
        <f>CAPM!C14</f>
        <v>-2.0358247392682546E-2</v>
      </c>
      <c r="J36" s="98">
        <f>CAPM!D14</f>
        <v>-6.5232223050083624E-2</v>
      </c>
      <c r="K36" s="98">
        <f>CAPM!E14</f>
        <v>5.5191666666666661E-3</v>
      </c>
      <c r="L36" s="98">
        <f t="shared" si="0"/>
        <v>-7.0751389716750296E-2</v>
      </c>
      <c r="M36" s="99">
        <f t="shared" si="1"/>
        <v>-2.5877414059349211E-2</v>
      </c>
    </row>
    <row r="37" spans="2:33" ht="14.4" thickBot="1">
      <c r="B37" s="83">
        <f>'Adani Total Gas Stock Price His'!A17</f>
        <v>45302</v>
      </c>
      <c r="C37" s="84">
        <f>'Adani Total Gas Stock Price His'!B17</f>
        <v>812.35</v>
      </c>
      <c r="D37" s="84">
        <f>'Adani Total Gas Stock Price His'!J17</f>
        <v>73230000</v>
      </c>
      <c r="I37" s="98">
        <f>CAPM!C15</f>
        <v>-3.0722181045922284E-3</v>
      </c>
      <c r="J37" s="98">
        <f>CAPM!D15</f>
        <v>0.12297436631903137</v>
      </c>
      <c r="K37" s="98">
        <f>CAPM!E15</f>
        <v>5.5191666666666661E-3</v>
      </c>
      <c r="L37" s="98">
        <f t="shared" si="0"/>
        <v>0.1174551996523647</v>
      </c>
      <c r="M37" s="99">
        <f t="shared" si="1"/>
        <v>-8.5913847712588941E-3</v>
      </c>
    </row>
    <row r="38" spans="2:33" ht="16.2">
      <c r="B38" s="83">
        <f>'Adani Total Gas Stock Price His'!A18</f>
        <v>45301</v>
      </c>
      <c r="C38" s="84">
        <f>'Adani Total Gas Stock Price His'!B18</f>
        <v>718.35</v>
      </c>
      <c r="D38" s="84">
        <f>'Adani Total Gas Stock Price His'!J18</f>
        <v>14430000</v>
      </c>
      <c r="I38" s="98">
        <f>CAPM!C16</f>
        <v>-6.4221263050494262E-2</v>
      </c>
      <c r="J38" s="98">
        <f>CAPM!D16</f>
        <v>-9.0635807041604399E-2</v>
      </c>
      <c r="K38" s="98">
        <f>CAPM!E16</f>
        <v>5.5191666666666661E-3</v>
      </c>
      <c r="L38" s="98">
        <f t="shared" si="0"/>
        <v>-9.6154973708271071E-2</v>
      </c>
      <c r="M38" s="99">
        <f t="shared" si="1"/>
        <v>-6.9740429717160934E-2</v>
      </c>
      <c r="O38" s="108" t="s">
        <v>266</v>
      </c>
      <c r="P38" s="109"/>
      <c r="Q38" s="109"/>
      <c r="R38" s="109"/>
      <c r="S38" s="109"/>
      <c r="T38" s="109"/>
      <c r="U38" s="109"/>
      <c r="V38" s="109"/>
      <c r="W38" s="110"/>
      <c r="Y38" s="111" t="s">
        <v>267</v>
      </c>
      <c r="Z38" s="112"/>
      <c r="AA38" s="112"/>
      <c r="AB38" s="112"/>
      <c r="AC38" s="112"/>
      <c r="AD38" s="112"/>
      <c r="AE38" s="112"/>
      <c r="AF38" s="112"/>
      <c r="AG38" s="113"/>
    </row>
    <row r="39" spans="2:33">
      <c r="B39" s="83">
        <f>'Adani Total Gas Stock Price His'!A19</f>
        <v>45300</v>
      </c>
      <c r="C39" s="84">
        <f>'Adani Total Gas Stock Price His'!B19</f>
        <v>786.5</v>
      </c>
      <c r="D39" s="84">
        <f>'Adani Total Gas Stock Price His'!J19</f>
        <v>28750000</v>
      </c>
      <c r="I39" s="98">
        <f>CAPM!C17</f>
        <v>2.2527362252369305E-2</v>
      </c>
      <c r="J39" s="98">
        <f>CAPM!D17</f>
        <v>-5.4254576154429607E-2</v>
      </c>
      <c r="K39" s="98">
        <f>CAPM!E17</f>
        <v>5.5191666666666661E-3</v>
      </c>
      <c r="L39" s="98">
        <f t="shared" si="0"/>
        <v>-5.9773742821096272E-2</v>
      </c>
      <c r="M39" s="99">
        <f t="shared" si="1"/>
        <v>1.7008195585702639E-2</v>
      </c>
      <c r="O39" s="91" t="s">
        <v>264</v>
      </c>
      <c r="P39"/>
      <c r="Q39"/>
      <c r="R39"/>
      <c r="S39"/>
      <c r="T39"/>
      <c r="U39"/>
      <c r="V39"/>
      <c r="W39" s="92"/>
      <c r="Y39" s="91" t="s">
        <v>264</v>
      </c>
      <c r="Z39"/>
      <c r="AA39"/>
      <c r="AB39"/>
      <c r="AC39"/>
      <c r="AD39"/>
      <c r="AE39"/>
      <c r="AF39"/>
      <c r="AG39" s="92"/>
    </row>
    <row r="40" spans="2:33" ht="14.4" thickBot="1">
      <c r="B40" s="83">
        <f>'Adani Total Gas Stock Price His'!A20</f>
        <v>45299</v>
      </c>
      <c r="C40" s="84">
        <f>'Adani Total Gas Stock Price His'!B20</f>
        <v>830.35</v>
      </c>
      <c r="D40" s="84">
        <f>'Adani Total Gas Stock Price His'!J20</f>
        <v>82290000</v>
      </c>
      <c r="I40" s="98">
        <f>CAPM!C18</f>
        <v>1.1347670587906642E-2</v>
      </c>
      <c r="J40" s="98">
        <f>CAPM!D18</f>
        <v>-7.5590756018505345E-2</v>
      </c>
      <c r="K40" s="98">
        <f>CAPM!E18</f>
        <v>5.5191666666666661E-3</v>
      </c>
      <c r="L40" s="98">
        <f t="shared" si="0"/>
        <v>-8.1109922685172017E-2</v>
      </c>
      <c r="M40" s="99">
        <f t="shared" si="1"/>
        <v>5.8285039212399763E-3</v>
      </c>
      <c r="O40" s="91"/>
      <c r="P40"/>
      <c r="Q40"/>
      <c r="R40"/>
      <c r="S40"/>
      <c r="T40"/>
      <c r="U40"/>
      <c r="V40"/>
      <c r="W40" s="92"/>
      <c r="Y40" s="91"/>
      <c r="Z40"/>
      <c r="AA40"/>
      <c r="AB40"/>
      <c r="AC40"/>
      <c r="AD40"/>
      <c r="AE40"/>
      <c r="AF40"/>
      <c r="AG40" s="92"/>
    </row>
    <row r="41" spans="2:33">
      <c r="B41" s="83">
        <f>'Adani Total Gas Stock Price His'!A21</f>
        <v>45298</v>
      </c>
      <c r="C41" s="84">
        <f>'Adani Total Gas Stock Price His'!B21</f>
        <v>895.55</v>
      </c>
      <c r="D41" s="84">
        <f>'Adani Total Gas Stock Price His'!J21</f>
        <v>45980000</v>
      </c>
      <c r="I41" s="98">
        <f>CAPM!C19</f>
        <v>3.8424513811085394E-2</v>
      </c>
      <c r="J41" s="98">
        <f>CAPM!D19</f>
        <v>-5.023583036629309E-4</v>
      </c>
      <c r="K41" s="98">
        <f>CAPM!E19</f>
        <v>5.5191666666666661E-3</v>
      </c>
      <c r="L41" s="98">
        <f t="shared" si="0"/>
        <v>-6.0215249703295974E-3</v>
      </c>
      <c r="M41" s="99">
        <f t="shared" si="1"/>
        <v>3.2905347144418728E-2</v>
      </c>
      <c r="O41" s="93" t="s">
        <v>181</v>
      </c>
      <c r="P41" s="30"/>
      <c r="Q41"/>
      <c r="R41"/>
      <c r="S41"/>
      <c r="T41"/>
      <c r="U41"/>
      <c r="V41"/>
      <c r="W41" s="92"/>
      <c r="Y41" s="93" t="s">
        <v>181</v>
      </c>
      <c r="Z41" s="30"/>
      <c r="AA41"/>
      <c r="AB41"/>
      <c r="AC41"/>
      <c r="AD41"/>
      <c r="AE41"/>
      <c r="AF41"/>
      <c r="AG41" s="92"/>
    </row>
    <row r="42" spans="2:33">
      <c r="B42" s="83">
        <f>'Adani Total Gas Stock Price His'!A22</f>
        <v>45297</v>
      </c>
      <c r="C42" s="84">
        <f>'Adani Total Gas Stock Price His'!B22</f>
        <v>896</v>
      </c>
      <c r="D42" s="84">
        <f>'Adani Total Gas Stock Price His'!J22</f>
        <v>50780000</v>
      </c>
      <c r="I42" s="98">
        <f>CAPM!C20</f>
        <v>6.3616575862233918E-2</v>
      </c>
      <c r="J42" s="98">
        <f>CAPM!D20</f>
        <v>-0.14836227561944554</v>
      </c>
      <c r="K42" s="98">
        <f>CAPM!E20</f>
        <v>5.5191666666666661E-3</v>
      </c>
      <c r="L42" s="98">
        <f t="shared" si="0"/>
        <v>-0.1538814422861122</v>
      </c>
      <c r="M42" s="99">
        <f t="shared" si="1"/>
        <v>5.8097409195567253E-2</v>
      </c>
      <c r="O42" s="91" t="s">
        <v>182</v>
      </c>
      <c r="P42">
        <v>0.41321227477354511</v>
      </c>
      <c r="Q42"/>
      <c r="R42"/>
      <c r="S42"/>
      <c r="T42"/>
      <c r="U42"/>
      <c r="V42"/>
      <c r="W42" s="92"/>
      <c r="Y42" s="91" t="s">
        <v>182</v>
      </c>
      <c r="Z42">
        <v>0.38432864305225178</v>
      </c>
      <c r="AA42"/>
      <c r="AB42"/>
      <c r="AC42"/>
      <c r="AD42"/>
      <c r="AE42"/>
      <c r="AF42"/>
      <c r="AG42" s="92"/>
    </row>
    <row r="43" spans="2:33">
      <c r="B43" s="83">
        <f>'Adani Total Gas Stock Price His'!A23</f>
        <v>45296</v>
      </c>
      <c r="C43" s="84">
        <f>'Adani Total Gas Stock Price His'!B23</f>
        <v>1039.3</v>
      </c>
      <c r="D43" s="84">
        <f>'Adani Total Gas Stock Price His'!J23</f>
        <v>45820000</v>
      </c>
      <c r="I43" s="98">
        <f>CAPM!C21</f>
        <v>-3.2856613781206767E-3</v>
      </c>
      <c r="J43" s="98">
        <f>CAPM!D21</f>
        <v>0.11208631294710904</v>
      </c>
      <c r="K43" s="98">
        <f>CAPM!E21</f>
        <v>5.5191666666666661E-3</v>
      </c>
      <c r="L43" s="98">
        <f t="shared" si="0"/>
        <v>0.10656714628044237</v>
      </c>
      <c r="M43" s="99">
        <f t="shared" si="1"/>
        <v>-8.8048280447873429E-3</v>
      </c>
      <c r="O43" s="91" t="s">
        <v>183</v>
      </c>
      <c r="P43">
        <v>0.17074438402352773</v>
      </c>
      <c r="Q43"/>
      <c r="R43"/>
      <c r="S43"/>
      <c r="T43"/>
      <c r="U43"/>
      <c r="V43"/>
      <c r="W43" s="92"/>
      <c r="Y43" s="91" t="s">
        <v>183</v>
      </c>
      <c r="Z43">
        <v>0.14770850587038517</v>
      </c>
      <c r="AA43"/>
      <c r="AB43"/>
      <c r="AC43"/>
      <c r="AD43"/>
      <c r="AE43"/>
      <c r="AF43"/>
      <c r="AG43" s="92"/>
    </row>
    <row r="44" spans="2:33">
      <c r="B44" s="83">
        <f>'Adani Total Gas Stock Price His'!A24</f>
        <v>45295</v>
      </c>
      <c r="C44" s="84">
        <f>'Adani Total Gas Stock Price His'!B24</f>
        <v>929.1</v>
      </c>
      <c r="D44" s="84">
        <f>'Adani Total Gas Stock Price His'!J24</f>
        <v>26690000</v>
      </c>
      <c r="I44" s="98">
        <f>CAPM!C22</f>
        <v>1.2372255500286942E-2</v>
      </c>
      <c r="J44" s="98">
        <f>CAPM!D22</f>
        <v>2.7483648372491178E-3</v>
      </c>
      <c r="K44" s="98">
        <f>CAPM!E22</f>
        <v>5.5191666666666661E-3</v>
      </c>
      <c r="L44" s="98">
        <f t="shared" si="0"/>
        <v>-2.7708018294175484E-3</v>
      </c>
      <c r="M44" s="99">
        <f t="shared" si="1"/>
        <v>6.8530888336202763E-3</v>
      </c>
      <c r="O44" s="91" t="s">
        <v>184</v>
      </c>
      <c r="P44">
        <v>0.15619603988358963</v>
      </c>
      <c r="Q44"/>
      <c r="R44"/>
      <c r="S44"/>
      <c r="T44"/>
      <c r="U44"/>
      <c r="V44"/>
      <c r="W44" s="92"/>
      <c r="Y44" s="91" t="s">
        <v>184</v>
      </c>
      <c r="Z44">
        <v>0.12264110898422004</v>
      </c>
      <c r="AA44"/>
      <c r="AB44"/>
      <c r="AC44"/>
      <c r="AD44"/>
      <c r="AE44"/>
      <c r="AF44"/>
      <c r="AG44" s="92"/>
    </row>
    <row r="45" spans="2:33">
      <c r="B45" s="83">
        <f>'Adani Total Gas Stock Price His'!A25</f>
        <v>45294</v>
      </c>
      <c r="C45" s="84">
        <f>'Adani Total Gas Stock Price His'!B25</f>
        <v>926.55</v>
      </c>
      <c r="D45" s="84">
        <f>'Adani Total Gas Stock Price His'!J25</f>
        <v>59830000</v>
      </c>
      <c r="I45" s="98">
        <f>CAPM!C23</f>
        <v>1.5531900126922026E-2</v>
      </c>
      <c r="J45" s="98">
        <f>CAPM!D23</f>
        <v>-0.10161382611812822</v>
      </c>
      <c r="K45" s="98">
        <f>CAPM!E23</f>
        <v>5.5191666666666661E-3</v>
      </c>
      <c r="L45" s="98">
        <f t="shared" si="0"/>
        <v>-0.10713299278479489</v>
      </c>
      <c r="M45" s="99">
        <f t="shared" si="1"/>
        <v>1.0012733460255361E-2</v>
      </c>
      <c r="O45" s="91" t="s">
        <v>185</v>
      </c>
      <c r="P45">
        <v>0.21858625896422759</v>
      </c>
      <c r="Q45"/>
      <c r="R45"/>
      <c r="S45"/>
      <c r="T45"/>
      <c r="U45"/>
      <c r="V45"/>
      <c r="W45" s="92"/>
      <c r="Y45" s="91" t="s">
        <v>185</v>
      </c>
      <c r="Z45">
        <v>0.22632099863411603</v>
      </c>
      <c r="AA45"/>
      <c r="AB45"/>
      <c r="AC45"/>
      <c r="AD45"/>
      <c r="AE45"/>
      <c r="AF45"/>
      <c r="AG45" s="92"/>
    </row>
    <row r="46" spans="2:33" ht="14.4" thickBot="1">
      <c r="B46" s="83">
        <f>'Adani Total Gas Stock Price His'!A26</f>
        <v>45293</v>
      </c>
      <c r="C46" s="84">
        <f>'Adani Total Gas Stock Price His'!B26</f>
        <v>1025.6500000000001</v>
      </c>
      <c r="D46" s="84">
        <f>'Adani Total Gas Stock Price His'!J26</f>
        <v>75130000</v>
      </c>
      <c r="I46" s="98">
        <f>CAPM!C24</f>
        <v>1.176443782129105E-2</v>
      </c>
      <c r="J46" s="98">
        <f>CAPM!D24</f>
        <v>1.3052197070620695E-2</v>
      </c>
      <c r="K46" s="98">
        <f>CAPM!E24</f>
        <v>5.5191666666666661E-3</v>
      </c>
      <c r="L46" s="98">
        <f t="shared" si="0"/>
        <v>7.5330304039540287E-3</v>
      </c>
      <c r="M46" s="99">
        <f t="shared" si="1"/>
        <v>6.2452711546243838E-3</v>
      </c>
      <c r="O46" s="94" t="s">
        <v>186</v>
      </c>
      <c r="P46" s="28">
        <v>59</v>
      </c>
      <c r="Q46"/>
      <c r="R46"/>
      <c r="S46"/>
      <c r="T46"/>
      <c r="U46"/>
      <c r="V46"/>
      <c r="W46" s="92"/>
      <c r="Y46" s="94" t="s">
        <v>186</v>
      </c>
      <c r="Z46" s="28">
        <v>36</v>
      </c>
      <c r="AA46"/>
      <c r="AB46"/>
      <c r="AC46"/>
      <c r="AD46"/>
      <c r="AE46"/>
      <c r="AF46"/>
      <c r="AG46" s="92"/>
    </row>
    <row r="47" spans="2:33">
      <c r="B47" s="83">
        <f>'Adani Total Gas Stock Price His'!A27</f>
        <v>45292</v>
      </c>
      <c r="C47" s="84">
        <f>'Adani Total Gas Stock Price His'!B27</f>
        <v>1012.35</v>
      </c>
      <c r="D47" s="84">
        <f>'Adani Total Gas Stock Price His'!J27</f>
        <v>59320000</v>
      </c>
      <c r="I47" s="98">
        <f>CAPM!C25</f>
        <v>-2.6232767638379318E-4</v>
      </c>
      <c r="J47" s="98">
        <f>CAPM!D25</f>
        <v>2.4397550677698651E-2</v>
      </c>
      <c r="K47" s="98">
        <f>CAPM!E25</f>
        <v>5.5191666666666661E-3</v>
      </c>
      <c r="L47" s="98">
        <f t="shared" si="0"/>
        <v>1.8878384011031986E-2</v>
      </c>
      <c r="M47" s="99">
        <f t="shared" si="1"/>
        <v>-5.7814943430504594E-3</v>
      </c>
      <c r="O47" s="91"/>
      <c r="P47"/>
      <c r="Q47"/>
      <c r="R47"/>
      <c r="S47"/>
      <c r="T47"/>
      <c r="U47"/>
      <c r="V47"/>
      <c r="W47" s="92"/>
      <c r="Y47" s="91"/>
      <c r="Z47"/>
      <c r="AA47"/>
      <c r="AB47"/>
      <c r="AC47"/>
      <c r="AD47"/>
      <c r="AE47"/>
      <c r="AF47"/>
      <c r="AG47" s="92"/>
    </row>
    <row r="48" spans="2:33" ht="14.4" thickBot="1">
      <c r="B48" s="81">
        <f>'Adani Total Gas Stock Price His'!A28</f>
        <v>44938</v>
      </c>
      <c r="C48" s="82">
        <f>'Adani Total Gas Stock Price His'!B28</f>
        <v>987.95</v>
      </c>
      <c r="D48" s="82">
        <f>'Adani Total Gas Stock Price His'!J28</f>
        <v>147010000</v>
      </c>
      <c r="I48" s="98">
        <f>CAPM!C26</f>
        <v>7.6390508981434194E-2</v>
      </c>
      <c r="J48" s="98">
        <f>CAPM!D26</f>
        <v>0.33205868988895532</v>
      </c>
      <c r="K48" s="98">
        <f>CAPM!E26</f>
        <v>5.5191666666666661E-3</v>
      </c>
      <c r="L48" s="98">
        <f t="shared" si="0"/>
        <v>0.32653952322228863</v>
      </c>
      <c r="M48" s="99">
        <f t="shared" si="1"/>
        <v>7.0871342314767521E-2</v>
      </c>
      <c r="O48" s="91" t="s">
        <v>187</v>
      </c>
      <c r="P48"/>
      <c r="Q48"/>
      <c r="R48"/>
      <c r="S48"/>
      <c r="T48"/>
      <c r="U48"/>
      <c r="V48"/>
      <c r="W48" s="92"/>
      <c r="Y48" s="91" t="s">
        <v>187</v>
      </c>
      <c r="Z48"/>
      <c r="AA48"/>
      <c r="AB48"/>
      <c r="AC48"/>
      <c r="AD48"/>
      <c r="AE48"/>
      <c r="AF48"/>
      <c r="AG48" s="92"/>
    </row>
    <row r="49" spans="2:33">
      <c r="B49" s="81">
        <f>'Adani Total Gas Stock Price His'!A29</f>
        <v>44937</v>
      </c>
      <c r="C49" s="82">
        <f>'Adani Total Gas Stock Price His'!B29</f>
        <v>708.8</v>
      </c>
      <c r="D49" s="82">
        <f>'Adani Total Gas Stock Price His'!J29</f>
        <v>41740000</v>
      </c>
      <c r="I49" s="98">
        <f>CAPM!C27</f>
        <v>5.3748008831137117E-2</v>
      </c>
      <c r="J49" s="98">
        <f>CAPM!D27</f>
        <v>0.22798737431577676</v>
      </c>
      <c r="K49" s="98">
        <f>CAPM!E27</f>
        <v>5.5191666666666661E-3</v>
      </c>
      <c r="L49" s="98">
        <f t="shared" si="0"/>
        <v>0.2224682076491101</v>
      </c>
      <c r="M49" s="99">
        <f t="shared" si="1"/>
        <v>4.8228842164470452E-2</v>
      </c>
      <c r="O49" s="95"/>
      <c r="P49" s="29" t="s">
        <v>192</v>
      </c>
      <c r="Q49" s="29" t="s">
        <v>193</v>
      </c>
      <c r="R49" s="29" t="s">
        <v>194</v>
      </c>
      <c r="S49" s="29" t="s">
        <v>195</v>
      </c>
      <c r="T49" s="29" t="s">
        <v>196</v>
      </c>
      <c r="U49"/>
      <c r="V49"/>
      <c r="W49" s="92"/>
      <c r="Y49" s="95"/>
      <c r="Z49" s="29" t="s">
        <v>192</v>
      </c>
      <c r="AA49" s="29" t="s">
        <v>193</v>
      </c>
      <c r="AB49" s="29" t="s">
        <v>194</v>
      </c>
      <c r="AC49" s="29" t="s">
        <v>195</v>
      </c>
      <c r="AD49" s="29" t="s">
        <v>196</v>
      </c>
      <c r="AE49"/>
      <c r="AF49"/>
      <c r="AG49" s="92"/>
    </row>
    <row r="50" spans="2:33">
      <c r="B50" s="81">
        <f>'Adani Total Gas Stock Price His'!A30</f>
        <v>44936</v>
      </c>
      <c r="C50" s="82">
        <f>'Adani Total Gas Stock Price His'!B30</f>
        <v>564.29999999999995</v>
      </c>
      <c r="D50" s="82">
        <f>'Adani Total Gas Stock Price His'!J30</f>
        <v>20850000</v>
      </c>
      <c r="I50" s="98">
        <f>CAPM!C28</f>
        <v>-2.8862039695351373E-2</v>
      </c>
      <c r="J50" s="98">
        <f>CAPM!D28</f>
        <v>-8.3186658163504318E-2</v>
      </c>
      <c r="K50" s="98">
        <f>CAPM!E28</f>
        <v>5.5191666666666661E-3</v>
      </c>
      <c r="L50" s="98">
        <f t="shared" si="0"/>
        <v>-8.870582483017099E-2</v>
      </c>
      <c r="M50" s="99">
        <f t="shared" si="1"/>
        <v>-3.4381206362018038E-2</v>
      </c>
      <c r="O50" s="91" t="s">
        <v>188</v>
      </c>
      <c r="P50">
        <v>1</v>
      </c>
      <c r="Q50">
        <v>0.56076200138313315</v>
      </c>
      <c r="R50">
        <v>0.56076200138313315</v>
      </c>
      <c r="S50">
        <v>11.736344863797957</v>
      </c>
      <c r="T50">
        <v>1.1430593325702197E-3</v>
      </c>
      <c r="U50"/>
      <c r="V50"/>
      <c r="W50" s="92"/>
      <c r="Y50" s="91" t="s">
        <v>188</v>
      </c>
      <c r="Z50">
        <v>1</v>
      </c>
      <c r="AA50">
        <v>0.30181857858785377</v>
      </c>
      <c r="AB50">
        <v>0.30181857858785377</v>
      </c>
      <c r="AC50">
        <v>5.892454910302491</v>
      </c>
      <c r="AD50">
        <v>2.0652825294457996E-2</v>
      </c>
      <c r="AE50"/>
      <c r="AF50"/>
      <c r="AG50" s="92"/>
    </row>
    <row r="51" spans="2:33">
      <c r="B51" s="81">
        <f>'Adani Total Gas Stock Price His'!A31</f>
        <v>44935</v>
      </c>
      <c r="C51" s="82">
        <f>'Adani Total Gas Stock Price His'!B31</f>
        <v>613.25</v>
      </c>
      <c r="D51" s="82">
        <f>'Adani Total Gas Stock Price His'!J31</f>
        <v>11520000</v>
      </c>
      <c r="I51" s="98">
        <f>CAPM!C29</f>
        <v>1.9773297285282689E-2</v>
      </c>
      <c r="J51" s="98">
        <f>CAPM!D29</f>
        <v>-3.6111365338103579E-2</v>
      </c>
      <c r="K51" s="98">
        <f>CAPM!E29</f>
        <v>5.5191666666666661E-3</v>
      </c>
      <c r="L51" s="98">
        <f t="shared" si="0"/>
        <v>-4.1630532004770245E-2</v>
      </c>
      <c r="M51" s="99">
        <f t="shared" si="1"/>
        <v>1.4254130618616023E-2</v>
      </c>
      <c r="O51" s="91" t="s">
        <v>189</v>
      </c>
      <c r="P51">
        <v>57</v>
      </c>
      <c r="Q51">
        <v>2.7234572986546528</v>
      </c>
      <c r="R51">
        <v>4.7779952607976364E-2</v>
      </c>
      <c r="S51"/>
      <c r="T51"/>
      <c r="U51"/>
      <c r="V51"/>
      <c r="W51" s="92"/>
      <c r="Y51" s="91" t="s">
        <v>189</v>
      </c>
      <c r="Z51">
        <v>34</v>
      </c>
      <c r="AA51">
        <v>1.7415206103732805</v>
      </c>
      <c r="AB51">
        <v>5.1221194422743546E-2</v>
      </c>
      <c r="AC51"/>
      <c r="AD51"/>
      <c r="AE51"/>
      <c r="AF51"/>
      <c r="AG51" s="92"/>
    </row>
    <row r="52" spans="2:33" ht="14.4" thickBot="1">
      <c r="B52" s="81">
        <f>'Adani Total Gas Stock Price His'!A32</f>
        <v>44934</v>
      </c>
      <c r="C52" s="82">
        <f>'Adani Total Gas Stock Price His'!B32</f>
        <v>635.79999999999995</v>
      </c>
      <c r="D52" s="82">
        <f>'Adani Total Gas Stock Price His'!J32</f>
        <v>17620000</v>
      </c>
      <c r="I52" s="98">
        <f>CAPM!C30</f>
        <v>-2.5637434053074906E-2</v>
      </c>
      <c r="J52" s="98">
        <f>CAPM!D30</f>
        <v>-4.2946191675177138E-2</v>
      </c>
      <c r="K52" s="98">
        <f>CAPM!E30</f>
        <v>5.5191666666666661E-3</v>
      </c>
      <c r="L52" s="98">
        <f t="shared" si="0"/>
        <v>-4.8465358341843803E-2</v>
      </c>
      <c r="M52" s="99">
        <f t="shared" si="1"/>
        <v>-3.1156600719741571E-2</v>
      </c>
      <c r="O52" s="94" t="s">
        <v>190</v>
      </c>
      <c r="P52" s="28">
        <v>58</v>
      </c>
      <c r="Q52" s="28">
        <v>3.2842193000377859</v>
      </c>
      <c r="R52" s="28"/>
      <c r="S52" s="28"/>
      <c r="T52" s="28"/>
      <c r="U52"/>
      <c r="V52"/>
      <c r="W52" s="92"/>
      <c r="Y52" s="94" t="s">
        <v>190</v>
      </c>
      <c r="Z52" s="28">
        <v>35</v>
      </c>
      <c r="AA52" s="28">
        <v>2.0433391889611343</v>
      </c>
      <c r="AB52" s="28"/>
      <c r="AC52" s="28"/>
      <c r="AD52" s="28"/>
      <c r="AE52"/>
      <c r="AF52"/>
      <c r="AG52" s="92"/>
    </row>
    <row r="53" spans="2:33" ht="14.4" thickBot="1">
      <c r="B53" s="81">
        <f>'Adani Total Gas Stock Price His'!A33</f>
        <v>44933</v>
      </c>
      <c r="C53" s="82">
        <f>'Adani Total Gas Stock Price His'!B33</f>
        <v>663.7</v>
      </c>
      <c r="D53" s="82">
        <f>'Adani Total Gas Stock Price His'!J33</f>
        <v>14970000</v>
      </c>
      <c r="I53" s="98">
        <f>CAPM!C31</f>
        <v>2.9006074059238815E-2</v>
      </c>
      <c r="J53" s="98">
        <f>CAPM!D31</f>
        <v>1.3805878084799227E-2</v>
      </c>
      <c r="K53" s="98">
        <f>CAPM!E31</f>
        <v>5.5191666666666661E-3</v>
      </c>
      <c r="L53" s="98">
        <f t="shared" si="0"/>
        <v>8.286711418132562E-3</v>
      </c>
      <c r="M53" s="99">
        <f t="shared" si="1"/>
        <v>2.348690739257215E-2</v>
      </c>
      <c r="O53" s="91"/>
      <c r="P53"/>
      <c r="Q53"/>
      <c r="R53"/>
      <c r="S53"/>
      <c r="T53"/>
      <c r="U53"/>
      <c r="V53"/>
      <c r="W53" s="92"/>
      <c r="Y53" s="91"/>
      <c r="Z53"/>
      <c r="AA53"/>
      <c r="AB53"/>
      <c r="AC53"/>
      <c r="AD53"/>
      <c r="AE53"/>
      <c r="AF53"/>
      <c r="AG53" s="92"/>
    </row>
    <row r="54" spans="2:33">
      <c r="B54" s="81">
        <f>'Adani Total Gas Stock Price His'!A34</f>
        <v>44932</v>
      </c>
      <c r="C54" s="82">
        <f>'Adani Total Gas Stock Price His'!B34</f>
        <v>654.6</v>
      </c>
      <c r="D54" s="82">
        <f>'Adani Total Gas Stock Price His'!J34</f>
        <v>45130000</v>
      </c>
      <c r="I54" s="98">
        <f>CAPM!C32</f>
        <v>3.4711338954606825E-2</v>
      </c>
      <c r="J54" s="98">
        <f>CAPM!D32</f>
        <v>-1.448366551143212E-2</v>
      </c>
      <c r="K54" s="98">
        <f>CAPM!E32</f>
        <v>5.5191666666666661E-3</v>
      </c>
      <c r="L54" s="98">
        <f t="shared" si="0"/>
        <v>-2.0002832178098787E-2</v>
      </c>
      <c r="M54" s="99">
        <f t="shared" si="1"/>
        <v>2.919217228794016E-2</v>
      </c>
      <c r="O54" s="95"/>
      <c r="P54" s="29" t="s">
        <v>197</v>
      </c>
      <c r="Q54" s="29" t="s">
        <v>185</v>
      </c>
      <c r="R54" s="29" t="s">
        <v>198</v>
      </c>
      <c r="S54" s="29" t="s">
        <v>199</v>
      </c>
      <c r="T54" s="29" t="s">
        <v>200</v>
      </c>
      <c r="U54" s="29" t="s">
        <v>201</v>
      </c>
      <c r="V54" s="29" t="s">
        <v>202</v>
      </c>
      <c r="W54" s="96" t="s">
        <v>203</v>
      </c>
      <c r="Y54" s="95"/>
      <c r="Z54" s="29" t="s">
        <v>197</v>
      </c>
      <c r="AA54" s="29" t="s">
        <v>185</v>
      </c>
      <c r="AB54" s="29" t="s">
        <v>198</v>
      </c>
      <c r="AC54" s="29" t="s">
        <v>199</v>
      </c>
      <c r="AD54" s="29" t="s">
        <v>200</v>
      </c>
      <c r="AE54" s="29" t="s">
        <v>201</v>
      </c>
      <c r="AF54" s="29" t="s">
        <v>202</v>
      </c>
      <c r="AG54" s="96" t="s">
        <v>203</v>
      </c>
    </row>
    <row r="55" spans="2:33">
      <c r="B55" s="81">
        <f>'Adani Total Gas Stock Price His'!A35</f>
        <v>44931</v>
      </c>
      <c r="C55" s="82">
        <f>'Adani Total Gas Stock Price His'!B35</f>
        <v>664.15</v>
      </c>
      <c r="D55" s="82">
        <f>'Adani Total Gas Stock Price His'!J35</f>
        <v>80520000</v>
      </c>
      <c r="I55" s="98">
        <f>CAPM!C33</f>
        <v>2.565210028949258E-2</v>
      </c>
      <c r="J55" s="98">
        <f>CAPM!D33</f>
        <v>-0.35267689991523049</v>
      </c>
      <c r="K55" s="98">
        <f>CAPM!E33</f>
        <v>5.5191666666666661E-3</v>
      </c>
      <c r="L55" s="98">
        <f t="shared" si="0"/>
        <v>-0.35819606658189718</v>
      </c>
      <c r="M55" s="99">
        <f t="shared" si="1"/>
        <v>2.0132933622825915E-2</v>
      </c>
      <c r="O55" s="91" t="s">
        <v>191</v>
      </c>
      <c r="P55">
        <v>-1.4051407088174801E-2</v>
      </c>
      <c r="Q55">
        <v>2.8803985708324296E-2</v>
      </c>
      <c r="R55">
        <v>-0.48782856756223053</v>
      </c>
      <c r="S55">
        <v>0.627542493407788</v>
      </c>
      <c r="T55">
        <v>-7.1730393559005998E-2</v>
      </c>
      <c r="U55">
        <v>4.3627579382656392E-2</v>
      </c>
      <c r="V55">
        <v>-7.1730393559005998E-2</v>
      </c>
      <c r="W55" s="92">
        <v>4.3627579382656392E-2</v>
      </c>
      <c r="Y55" s="91" t="s">
        <v>191</v>
      </c>
      <c r="Z55">
        <v>-7.0977169843806559E-2</v>
      </c>
      <c r="AA55">
        <v>3.8121569531675802E-2</v>
      </c>
      <c r="AB55">
        <v>-1.861863787765363</v>
      </c>
      <c r="AC55">
        <v>7.1284549839941383E-2</v>
      </c>
      <c r="AD55">
        <v>-0.14844952021112834</v>
      </c>
      <c r="AE55">
        <v>6.4951805235152343E-3</v>
      </c>
      <c r="AF55">
        <v>-0.14844952021112834</v>
      </c>
      <c r="AG55" s="92">
        <v>6.4951805235152343E-3</v>
      </c>
    </row>
    <row r="56" spans="2:33" ht="14.4" thickBot="1">
      <c r="B56" s="81">
        <f>'Adani Total Gas Stock Price His'!A36</f>
        <v>44930</v>
      </c>
      <c r="C56" s="82">
        <f>'Adani Total Gas Stock Price His'!B36</f>
        <v>945</v>
      </c>
      <c r="D56" s="82">
        <f>'Adani Total Gas Stock Price His'!J36</f>
        <v>14500000</v>
      </c>
      <c r="I56" s="98">
        <f>CAPM!C34</f>
        <v>3.9822056392752755E-2</v>
      </c>
      <c r="J56" s="98">
        <f>CAPM!D34</f>
        <v>8.5281272751847201E-2</v>
      </c>
      <c r="K56" s="98">
        <f>CAPM!E34</f>
        <v>5.5191666666666661E-3</v>
      </c>
      <c r="L56" s="98">
        <f t="shared" si="0"/>
        <v>7.9762106085180529E-2</v>
      </c>
      <c r="M56" s="99">
        <f t="shared" si="1"/>
        <v>3.430288972608609E-2</v>
      </c>
      <c r="O56" s="94" t="s">
        <v>265</v>
      </c>
      <c r="P56" s="28">
        <v>2.7716320740703089</v>
      </c>
      <c r="Q56" s="28">
        <v>0.80903842215424804</v>
      </c>
      <c r="R56" s="28">
        <v>3.4258349148489273</v>
      </c>
      <c r="S56" s="28">
        <v>1.1430593325702251E-3</v>
      </c>
      <c r="T56" s="28">
        <v>1.1515605784671314</v>
      </c>
      <c r="U56" s="28">
        <v>4.3917035696734867</v>
      </c>
      <c r="V56" s="28">
        <v>1.1515605784671314</v>
      </c>
      <c r="W56" s="97">
        <v>4.3917035696734867</v>
      </c>
      <c r="Y56" s="94" t="s">
        <v>265</v>
      </c>
      <c r="Z56" s="28">
        <v>2.8670556322513283</v>
      </c>
      <c r="AA56" s="28">
        <v>1.1811035805635204</v>
      </c>
      <c r="AB56" s="28">
        <v>2.4274379312976238</v>
      </c>
      <c r="AC56" s="28">
        <v>2.0652825294457996E-2</v>
      </c>
      <c r="AD56" s="28">
        <v>0.46676436571561597</v>
      </c>
      <c r="AE56" s="28">
        <v>5.2673468987870411</v>
      </c>
      <c r="AF56" s="28">
        <v>0.46676436571561597</v>
      </c>
      <c r="AG56" s="97">
        <v>5.2673468987870411</v>
      </c>
    </row>
    <row r="57" spans="2:33">
      <c r="B57" s="81">
        <f>'Adani Total Gas Stock Price His'!A37</f>
        <v>44929</v>
      </c>
      <c r="C57" s="82">
        <f>'Adani Total Gas Stock Price His'!B37</f>
        <v>867.75</v>
      </c>
      <c r="D57" s="82">
        <f>'Adani Total Gas Stock Price His'!J37</f>
        <v>53410000</v>
      </c>
      <c r="I57" s="98">
        <f>CAPM!C35</f>
        <v>3.2195090655844378E-3</v>
      </c>
      <c r="J57" s="98">
        <f>CAPM!D35</f>
        <v>0.24594548621451603</v>
      </c>
      <c r="K57" s="98">
        <f>CAPM!E35</f>
        <v>5.5191666666666661E-3</v>
      </c>
      <c r="L57" s="98">
        <f t="shared" si="0"/>
        <v>0.24042631954784938</v>
      </c>
      <c r="M57" s="99">
        <f t="shared" si="1"/>
        <v>-2.2996576010822284E-3</v>
      </c>
      <c r="O57" s="91"/>
      <c r="P57"/>
      <c r="Q57"/>
      <c r="R57"/>
      <c r="S57"/>
      <c r="T57"/>
      <c r="U57"/>
      <c r="V57"/>
      <c r="W57" s="92"/>
      <c r="Y57" s="91"/>
      <c r="Z57"/>
      <c r="AA57"/>
      <c r="AB57"/>
      <c r="AC57"/>
      <c r="AD57"/>
      <c r="AE57"/>
      <c r="AF57"/>
      <c r="AG57" s="92"/>
    </row>
    <row r="58" spans="2:33">
      <c r="B58" s="81">
        <f>'Adani Total Gas Stock Price His'!A38</f>
        <v>44928</v>
      </c>
      <c r="C58" s="82">
        <f>'Adani Total Gas Stock Price His'!B38</f>
        <v>678.55</v>
      </c>
      <c r="D58" s="82">
        <f>'Adani Total Gas Stock Price His'!J38</f>
        <v>14930000</v>
      </c>
      <c r="I58" s="98">
        <f>CAPM!C36</f>
        <v>-2.0489132678701803E-2</v>
      </c>
      <c r="J58" s="98">
        <f>CAPM!D36</f>
        <v>-1.133631613293709</v>
      </c>
      <c r="K58" s="98">
        <f>CAPM!E36</f>
        <v>5.5191666666666661E-3</v>
      </c>
      <c r="L58" s="98">
        <f t="shared" si="0"/>
        <v>-1.1391507799603757</v>
      </c>
      <c r="M58" s="99">
        <f t="shared" si="1"/>
        <v>-2.6008299345368469E-2</v>
      </c>
      <c r="O58" s="91"/>
      <c r="P58"/>
      <c r="Q58"/>
      <c r="R58"/>
      <c r="S58"/>
      <c r="T58"/>
      <c r="U58"/>
      <c r="V58"/>
      <c r="W58" s="92"/>
      <c r="Y58" s="91"/>
      <c r="Z58"/>
      <c r="AA58"/>
      <c r="AB58"/>
      <c r="AC58"/>
      <c r="AD58"/>
      <c r="AE58"/>
      <c r="AF58"/>
      <c r="AG58" s="92"/>
    </row>
    <row r="59" spans="2:33">
      <c r="B59" s="81">
        <f>'Adani Total Gas Stock Price His'!A39</f>
        <v>44927</v>
      </c>
      <c r="C59" s="82">
        <f>'Adani Total Gas Stock Price His'!B39</f>
        <v>2108.1999999999998</v>
      </c>
      <c r="D59" s="82">
        <f>'Adani Total Gas Stock Price His'!J39</f>
        <v>11390000</v>
      </c>
      <c r="I59" s="98">
        <f>CAPM!C37</f>
        <v>-2.4780781268640174E-2</v>
      </c>
      <c r="J59" s="98">
        <f>CAPM!D37</f>
        <v>-0.56056401482232565</v>
      </c>
      <c r="K59" s="98">
        <f>CAPM!E37</f>
        <v>5.5191666666666661E-3</v>
      </c>
      <c r="L59" s="98">
        <f t="shared" si="0"/>
        <v>-0.56608318148899228</v>
      </c>
      <c r="M59" s="99">
        <f t="shared" si="1"/>
        <v>-3.029994793530684E-2</v>
      </c>
      <c r="O59" s="91"/>
      <c r="P59"/>
      <c r="Q59"/>
      <c r="R59"/>
      <c r="S59"/>
      <c r="T59"/>
      <c r="U59"/>
      <c r="V59"/>
      <c r="W59" s="92"/>
      <c r="Y59" s="91"/>
      <c r="Z59"/>
      <c r="AA59"/>
      <c r="AB59"/>
      <c r="AC59"/>
      <c r="AD59"/>
      <c r="AE59"/>
      <c r="AF59"/>
      <c r="AG59" s="92"/>
    </row>
    <row r="60" spans="2:33">
      <c r="B60" s="83">
        <f>'Adani Total Gas Stock Price His'!A40</f>
        <v>44573</v>
      </c>
      <c r="C60" s="84">
        <f>'Adani Total Gas Stock Price His'!B40</f>
        <v>3692.85</v>
      </c>
      <c r="D60" s="84">
        <f>'Adani Total Gas Stock Price His'!J40</f>
        <v>7010000</v>
      </c>
      <c r="I60" s="89">
        <f>CAPM!C38</f>
        <v>-3.5434273529685763E-2</v>
      </c>
      <c r="J60" s="89">
        <f>CAPM!D38</f>
        <v>1.6408580442609143E-2</v>
      </c>
      <c r="K60" s="89">
        <f>CAPM!E38</f>
        <v>5.5191666666666661E-3</v>
      </c>
      <c r="L60" s="89">
        <f t="shared" si="0"/>
        <v>1.0889413775942478E-2</v>
      </c>
      <c r="M60" s="90">
        <f t="shared" si="1"/>
        <v>-4.0953440196352428E-2</v>
      </c>
      <c r="O60" s="91" t="s">
        <v>204</v>
      </c>
      <c r="P60"/>
      <c r="Q60"/>
      <c r="R60"/>
      <c r="S60"/>
      <c r="T60"/>
      <c r="U60"/>
      <c r="V60"/>
      <c r="W60" s="92"/>
      <c r="Y60" s="91" t="s">
        <v>204</v>
      </c>
      <c r="Z60"/>
      <c r="AA60"/>
      <c r="AB60"/>
      <c r="AC60"/>
      <c r="AD60"/>
      <c r="AE60"/>
      <c r="AF60"/>
      <c r="AG60" s="92"/>
    </row>
    <row r="61" spans="2:33" ht="14.4" thickBot="1">
      <c r="B61" s="83">
        <f>'Adani Total Gas Stock Price His'!A41</f>
        <v>44572</v>
      </c>
      <c r="C61" s="84">
        <f>'Adani Total Gas Stock Price His'!B41</f>
        <v>3632.75</v>
      </c>
      <c r="D61" s="84">
        <f>'Adani Total Gas Stock Price His'!J41</f>
        <v>5960000</v>
      </c>
      <c r="I61" s="89">
        <f>CAPM!C39</f>
        <v>4.0589680531975814E-2</v>
      </c>
      <c r="J61" s="89">
        <f>CAPM!D39</f>
        <v>8.2647382927021305E-3</v>
      </c>
      <c r="K61" s="89">
        <f>CAPM!E39</f>
        <v>5.5191666666666661E-3</v>
      </c>
      <c r="L61" s="89">
        <f t="shared" si="0"/>
        <v>2.7455716260354644E-3</v>
      </c>
      <c r="M61" s="90">
        <f t="shared" si="1"/>
        <v>3.5070513865309148E-2</v>
      </c>
      <c r="O61" s="91"/>
      <c r="P61"/>
      <c r="Q61"/>
      <c r="R61"/>
      <c r="S61"/>
      <c r="T61"/>
      <c r="U61"/>
      <c r="V61"/>
      <c r="W61" s="92"/>
      <c r="Y61" s="91"/>
      <c r="Z61"/>
      <c r="AA61"/>
      <c r="AB61"/>
      <c r="AC61"/>
      <c r="AD61"/>
      <c r="AE61"/>
      <c r="AF61"/>
      <c r="AG61" s="92"/>
    </row>
    <row r="62" spans="2:33">
      <c r="B62" s="83">
        <f>'Adani Total Gas Stock Price His'!A42</f>
        <v>44571</v>
      </c>
      <c r="C62" s="84">
        <f>'Adani Total Gas Stock Price His'!B42</f>
        <v>3602.85</v>
      </c>
      <c r="D62" s="84">
        <f>'Adani Total Gas Stock Price His'!J42</f>
        <v>6480000</v>
      </c>
      <c r="I62" s="89">
        <f>CAPM!C40</f>
        <v>5.2301306531627435E-2</v>
      </c>
      <c r="J62" s="89">
        <f>CAPM!D40</f>
        <v>7.5799303125490006E-2</v>
      </c>
      <c r="K62" s="89">
        <f>CAPM!E40</f>
        <v>5.5191666666666661E-3</v>
      </c>
      <c r="L62" s="89">
        <f t="shared" si="0"/>
        <v>7.0280136458823333E-2</v>
      </c>
      <c r="M62" s="90">
        <f t="shared" si="1"/>
        <v>4.678213986496077E-2</v>
      </c>
      <c r="O62" s="95" t="s">
        <v>205</v>
      </c>
      <c r="P62" s="29" t="s">
        <v>206</v>
      </c>
      <c r="Q62" s="29" t="s">
        <v>207</v>
      </c>
      <c r="R62"/>
      <c r="S62"/>
      <c r="T62"/>
      <c r="U62"/>
      <c r="V62"/>
      <c r="W62" s="92"/>
      <c r="Y62" s="95" t="s">
        <v>205</v>
      </c>
      <c r="Z62" s="29" t="s">
        <v>206</v>
      </c>
      <c r="AA62" s="29" t="s">
        <v>207</v>
      </c>
      <c r="AB62"/>
      <c r="AC62"/>
      <c r="AD62"/>
      <c r="AE62"/>
      <c r="AF62"/>
      <c r="AG62" s="92"/>
    </row>
    <row r="63" spans="2:33">
      <c r="B63" s="83">
        <f>'Adani Total Gas Stock Price His'!A43</f>
        <v>44570</v>
      </c>
      <c r="C63" s="84">
        <f>'Adani Total Gas Stock Price His'!B43</f>
        <v>3339.85</v>
      </c>
      <c r="D63" s="84">
        <f>'Adani Total Gas Stock Price His'!J43</f>
        <v>9390000</v>
      </c>
      <c r="I63" s="89">
        <f>CAPM!C41</f>
        <v>-3.8161322818150267E-2</v>
      </c>
      <c r="J63" s="89">
        <f>CAPM!D41</f>
        <v>-0.11448236994473315</v>
      </c>
      <c r="K63" s="89">
        <f>CAPM!E41</f>
        <v>5.5191666666666661E-3</v>
      </c>
      <c r="L63" s="89">
        <f t="shared" si="0"/>
        <v>-0.12000153661139983</v>
      </c>
      <c r="M63" s="90">
        <f t="shared" si="1"/>
        <v>-4.3680489484816933E-2</v>
      </c>
      <c r="O63" s="91">
        <v>1</v>
      </c>
      <c r="P63">
        <v>-3.7118024487835369E-2</v>
      </c>
      <c r="Q63">
        <v>-3.6523097501139606E-2</v>
      </c>
      <c r="R63"/>
      <c r="S63"/>
      <c r="T63"/>
      <c r="U63"/>
      <c r="V63"/>
      <c r="W63" s="92"/>
      <c r="Y63" s="91">
        <v>1</v>
      </c>
      <c r="Z63">
        <v>-9.483793980363843E-2</v>
      </c>
      <c r="AA63">
        <v>2.1196817814663454E-2</v>
      </c>
      <c r="AB63"/>
      <c r="AC63"/>
      <c r="AD63"/>
      <c r="AE63"/>
      <c r="AF63"/>
      <c r="AG63" s="92"/>
    </row>
    <row r="64" spans="2:33">
      <c r="B64" s="83">
        <f>'Adani Total Gas Stock Price His'!A44</f>
        <v>44569</v>
      </c>
      <c r="C64" s="84">
        <f>'Adani Total Gas Stock Price His'!B44</f>
        <v>3744.95</v>
      </c>
      <c r="D64" s="84">
        <f>'Adani Total Gas Stock Price His'!J44</f>
        <v>9980000</v>
      </c>
      <c r="I64" s="89">
        <f>CAPM!C42</f>
        <v>3.4430214865457824E-2</v>
      </c>
      <c r="J64" s="89">
        <f>CAPM!D42</f>
        <v>0.18027023024860125</v>
      </c>
      <c r="K64" s="89">
        <f>CAPM!E42</f>
        <v>5.5191666666666661E-3</v>
      </c>
      <c r="L64" s="89">
        <f t="shared" si="0"/>
        <v>0.1747510635819346</v>
      </c>
      <c r="M64" s="90">
        <f t="shared" si="1"/>
        <v>2.8911048198791159E-2</v>
      </c>
      <c r="O64" s="91">
        <v>2</v>
      </c>
      <c r="P64">
        <v>2.1986153095466712E-2</v>
      </c>
      <c r="Q64">
        <v>-6.7809583645738414E-2</v>
      </c>
      <c r="R64"/>
      <c r="S64"/>
      <c r="T64"/>
      <c r="U64"/>
      <c r="V64"/>
      <c r="W64" s="92"/>
      <c r="Y64" s="91">
        <v>2</v>
      </c>
      <c r="Z64">
        <v>-3.3698885015268153E-2</v>
      </c>
      <c r="AA64">
        <v>-1.2124545535003542E-2</v>
      </c>
      <c r="AB64"/>
      <c r="AC64"/>
      <c r="AD64"/>
      <c r="AE64"/>
      <c r="AF64"/>
      <c r="AG64" s="92"/>
    </row>
    <row r="65" spans="2:33">
      <c r="B65" s="83">
        <f>'Adani Total Gas Stock Price His'!A45</f>
        <v>44568</v>
      </c>
      <c r="C65" s="84">
        <f>'Adani Total Gas Stock Price His'!B45</f>
        <v>3127.2</v>
      </c>
      <c r="D65" s="84">
        <f>'Adani Total Gas Stock Price His'!J45</f>
        <v>9510000</v>
      </c>
      <c r="I65" s="89">
        <f>CAPM!C43</f>
        <v>8.3719949376114669E-2</v>
      </c>
      <c r="J65" s="89">
        <f>CAPM!D43</f>
        <v>0.26763201599347469</v>
      </c>
      <c r="K65" s="89">
        <f>CAPM!E43</f>
        <v>5.5191666666666661E-3</v>
      </c>
      <c r="L65" s="89">
        <f t="shared" si="0"/>
        <v>0.26211284932680801</v>
      </c>
      <c r="M65" s="90">
        <f t="shared" si="1"/>
        <v>7.8200782709447997E-2</v>
      </c>
      <c r="O65" s="91">
        <v>3</v>
      </c>
      <c r="P65">
        <v>9.3027319836612693E-2</v>
      </c>
      <c r="Q65">
        <v>-8.8521738695044427E-2</v>
      </c>
      <c r="R65"/>
      <c r="S65"/>
      <c r="T65"/>
      <c r="U65"/>
      <c r="V65"/>
      <c r="W65" s="92"/>
      <c r="Y65" s="91">
        <v>3</v>
      </c>
      <c r="Z65">
        <v>3.9788133385335586E-2</v>
      </c>
      <c r="AA65">
        <v>-3.5282552243767321E-2</v>
      </c>
      <c r="AB65"/>
      <c r="AC65"/>
      <c r="AD65"/>
      <c r="AE65"/>
      <c r="AF65"/>
      <c r="AG65" s="92"/>
    </row>
    <row r="66" spans="2:33">
      <c r="B66" s="83">
        <f>'Adani Total Gas Stock Price His'!A46</f>
        <v>44567</v>
      </c>
      <c r="C66" s="84">
        <f>'Adani Total Gas Stock Price His'!B46</f>
        <v>2392.9</v>
      </c>
      <c r="D66" s="84">
        <f>'Adani Total Gas Stock Price His'!J46</f>
        <v>11700000</v>
      </c>
      <c r="I66" s="89">
        <f>CAPM!C44</f>
        <v>-4.9712380948179848E-2</v>
      </c>
      <c r="J66" s="89">
        <f>CAPM!D44</f>
        <v>-2.0873348148128705E-3</v>
      </c>
      <c r="K66" s="89">
        <f>CAPM!E44</f>
        <v>5.5191666666666661E-3</v>
      </c>
      <c r="L66" s="89">
        <f t="shared" si="0"/>
        <v>-7.6065014814795367E-3</v>
      </c>
      <c r="M66" s="90">
        <f t="shared" si="1"/>
        <v>-5.5231547614846513E-2</v>
      </c>
      <c r="O66" s="91">
        <v>4</v>
      </c>
      <c r="P66">
        <v>-8.5207347782420874E-3</v>
      </c>
      <c r="Q66">
        <v>5.9247894854503824E-2</v>
      </c>
      <c r="R66"/>
      <c r="S66"/>
      <c r="T66"/>
      <c r="U66"/>
      <c r="V66"/>
      <c r="W66" s="92"/>
      <c r="Y66" s="91">
        <v>4</v>
      </c>
      <c r="Z66">
        <v>-6.5256083937536735E-2</v>
      </c>
      <c r="AA66">
        <v>0.11598324401379848</v>
      </c>
      <c r="AB66"/>
      <c r="AC66"/>
      <c r="AD66"/>
      <c r="AE66"/>
      <c r="AF66"/>
      <c r="AG66" s="92"/>
    </row>
    <row r="67" spans="2:33">
      <c r="B67" s="83">
        <f>'Adani Total Gas Stock Price His'!A47</f>
        <v>44566</v>
      </c>
      <c r="C67" s="84">
        <f>'Adani Total Gas Stock Price His'!B47</f>
        <v>2397.9</v>
      </c>
      <c r="D67" s="84">
        <f>'Adani Total Gas Stock Price His'!J47</f>
        <v>8870000</v>
      </c>
      <c r="I67" s="89">
        <f>CAPM!C45</f>
        <v>-3.0756036118482731E-2</v>
      </c>
      <c r="J67" s="89">
        <f>CAPM!D45</f>
        <v>-2.1882350183148647E-2</v>
      </c>
      <c r="K67" s="89">
        <f>CAPM!E45</f>
        <v>5.5191666666666661E-3</v>
      </c>
      <c r="L67" s="89">
        <f t="shared" si="0"/>
        <v>-2.7401516849815313E-2</v>
      </c>
      <c r="M67" s="90">
        <f t="shared" si="1"/>
        <v>-3.6275202785149396E-2</v>
      </c>
      <c r="O67" s="91">
        <v>5</v>
      </c>
      <c r="P67">
        <v>-6.7828990602422271E-2</v>
      </c>
      <c r="Q67">
        <v>4.0555284621383893E-2</v>
      </c>
      <c r="R67"/>
      <c r="S67"/>
      <c r="T67"/>
      <c r="U67"/>
      <c r="V67"/>
      <c r="W67" s="92"/>
      <c r="Y67" s="91">
        <v>5</v>
      </c>
      <c r="Z67">
        <v>-0.12660624310567059</v>
      </c>
      <c r="AA67">
        <v>9.933253712463222E-2</v>
      </c>
      <c r="AB67"/>
      <c r="AC67"/>
      <c r="AD67"/>
      <c r="AE67"/>
      <c r="AF67"/>
      <c r="AG67" s="92"/>
    </row>
    <row r="68" spans="2:33">
      <c r="B68" s="83">
        <f>'Adani Total Gas Stock Price His'!A48</f>
        <v>44565</v>
      </c>
      <c r="C68" s="84">
        <f>'Adani Total Gas Stock Price His'!B48</f>
        <v>2450.9499999999998</v>
      </c>
      <c r="D68" s="84">
        <f>'Adani Total Gas Stock Price His'!J48</f>
        <v>7290000</v>
      </c>
      <c r="I68" s="89">
        <f>CAPM!C46</f>
        <v>-2.0956988615441312E-2</v>
      </c>
      <c r="J68" s="89">
        <f>CAPM!D46</f>
        <v>0.13110088994426847</v>
      </c>
      <c r="K68" s="89">
        <f>CAPM!E46</f>
        <v>5.5191666666666661E-3</v>
      </c>
      <c r="L68" s="89">
        <f t="shared" si="0"/>
        <v>0.12558172327760181</v>
      </c>
      <c r="M68" s="90">
        <f t="shared" si="1"/>
        <v>-2.6476155282107977E-2</v>
      </c>
      <c r="O68" s="91">
        <v>6</v>
      </c>
      <c r="P68">
        <v>-0.11188834081871185</v>
      </c>
      <c r="Q68">
        <v>-5.7142638598161738E-3</v>
      </c>
      <c r="R68"/>
      <c r="S68"/>
      <c r="T68"/>
      <c r="U68"/>
      <c r="V68"/>
      <c r="W68" s="92"/>
      <c r="Y68" s="91">
        <v>6</v>
      </c>
      <c r="Z68">
        <v>-0.17218249739018585</v>
      </c>
      <c r="AA68">
        <v>5.4579892711657821E-2</v>
      </c>
      <c r="AB68"/>
      <c r="AC68"/>
      <c r="AD68"/>
      <c r="AE68"/>
      <c r="AF68"/>
      <c r="AG68" s="92"/>
    </row>
    <row r="69" spans="2:33">
      <c r="B69" s="83">
        <f>'Adani Total Gas Stock Price His'!A49</f>
        <v>44564</v>
      </c>
      <c r="C69" s="84">
        <f>'Adani Total Gas Stock Price His'!B49</f>
        <v>2149.8000000000002</v>
      </c>
      <c r="D69" s="84">
        <f>'Adani Total Gas Stock Price His'!J49</f>
        <v>5680000</v>
      </c>
      <c r="I69" s="89">
        <f>CAPM!C47</f>
        <v>3.9168838577291303E-2</v>
      </c>
      <c r="J69" s="89">
        <f>CAPM!D47</f>
        <v>0.30258463982939238</v>
      </c>
      <c r="K69" s="89">
        <f>CAPM!E47</f>
        <v>5.5191666666666661E-3</v>
      </c>
      <c r="L69" s="89">
        <f t="shared" si="0"/>
        <v>0.29706547316272569</v>
      </c>
      <c r="M69" s="90">
        <f t="shared" si="1"/>
        <v>3.3649671910624637E-2</v>
      </c>
      <c r="O69" s="91">
        <v>7</v>
      </c>
      <c r="P69">
        <v>5.5167105260703689E-2</v>
      </c>
      <c r="Q69">
        <v>-7.2455440507004296E-2</v>
      </c>
      <c r="R69"/>
      <c r="S69"/>
      <c r="T69"/>
      <c r="U69"/>
      <c r="V69"/>
      <c r="W69" s="92"/>
      <c r="Y69" s="91">
        <v>7</v>
      </c>
      <c r="Z69">
        <v>6.2444262940657136E-4</v>
      </c>
      <c r="AA69">
        <v>-1.7912777875707175E-2</v>
      </c>
      <c r="AB69"/>
      <c r="AC69"/>
      <c r="AD69"/>
      <c r="AE69"/>
      <c r="AF69"/>
      <c r="AG69" s="92"/>
    </row>
    <row r="70" spans="2:33">
      <c r="B70" s="83">
        <f>'Adani Total Gas Stock Price His'!A50</f>
        <v>44563</v>
      </c>
      <c r="C70" s="84">
        <f>'Adani Total Gas Stock Price His'!B50</f>
        <v>1588.5</v>
      </c>
      <c r="D70" s="84">
        <f>'Adani Total Gas Stock Price His'!J50</f>
        <v>3520000</v>
      </c>
      <c r="I70" s="89">
        <f>CAPM!C48</f>
        <v>-3.1991595559867449E-2</v>
      </c>
      <c r="J70" s="89">
        <f>CAPM!D48</f>
        <v>-0.13673290379984371</v>
      </c>
      <c r="K70" s="89">
        <f>CAPM!E48</f>
        <v>5.5191666666666661E-3</v>
      </c>
      <c r="L70" s="89">
        <f t="shared" si="0"/>
        <v>-0.14225207046651037</v>
      </c>
      <c r="M70" s="90">
        <f t="shared" si="1"/>
        <v>-3.7510762226534114E-2</v>
      </c>
      <c r="O70" s="91">
        <v>8</v>
      </c>
      <c r="P70">
        <v>1.7688870239995914E-2</v>
      </c>
      <c r="Q70">
        <v>0.10712138382326145</v>
      </c>
      <c r="R70"/>
      <c r="S70"/>
      <c r="T70"/>
      <c r="U70"/>
      <c r="V70"/>
      <c r="W70" s="92"/>
      <c r="Y70" s="91">
        <v>8</v>
      </c>
      <c r="Z70">
        <v>-3.8144117529864206E-2</v>
      </c>
      <c r="AA70">
        <v>0.16295437159312157</v>
      </c>
      <c r="AB70"/>
      <c r="AC70"/>
      <c r="AD70"/>
      <c r="AE70"/>
      <c r="AF70"/>
      <c r="AG70" s="92"/>
    </row>
    <row r="71" spans="2:33">
      <c r="B71" s="83">
        <f>'Adani Total Gas Stock Price His'!A51</f>
        <v>44562</v>
      </c>
      <c r="C71" s="84">
        <f>'Adani Total Gas Stock Price His'!B51</f>
        <v>1821.25</v>
      </c>
      <c r="D71" s="84">
        <f>'Adani Total Gas Stock Price His'!J51</f>
        <v>3910000</v>
      </c>
      <c r="I71" s="89">
        <f>CAPM!C49</f>
        <v>-8.185877513300963E-4</v>
      </c>
      <c r="J71" s="89">
        <f>CAPM!D49</f>
        <v>5.6152823285560267E-2</v>
      </c>
      <c r="K71" s="89">
        <f>CAPM!E49</f>
        <v>5.5191666666666661E-3</v>
      </c>
      <c r="L71" s="89">
        <f t="shared" si="0"/>
        <v>5.0633656618893602E-2</v>
      </c>
      <c r="M71" s="90">
        <f t="shared" si="1"/>
        <v>-6.3377544179967623E-3</v>
      </c>
      <c r="O71" s="91">
        <v>9</v>
      </c>
      <c r="P71">
        <v>6.5051291108888368E-2</v>
      </c>
      <c r="Q71">
        <v>-7.4561151465489112E-2</v>
      </c>
      <c r="R71"/>
      <c r="S71"/>
      <c r="T71"/>
      <c r="U71"/>
      <c r="V71"/>
      <c r="W71" s="92"/>
      <c r="Y71" s="91">
        <v>9</v>
      </c>
      <c r="Z71">
        <v>1.084892767970401E-2</v>
      </c>
      <c r="AA71">
        <v>-2.0358788036304754E-2</v>
      </c>
      <c r="AB71"/>
      <c r="AC71"/>
      <c r="AD71"/>
      <c r="AE71"/>
      <c r="AF71"/>
      <c r="AG71" s="92"/>
    </row>
    <row r="72" spans="2:33">
      <c r="B72" s="81">
        <f>'Adani Total Gas Stock Price His'!A52</f>
        <v>44208</v>
      </c>
      <c r="C72" s="82">
        <f>'Adani Total Gas Stock Price His'!B52</f>
        <v>1721.8</v>
      </c>
      <c r="D72" s="82">
        <f>'Adani Total Gas Stock Price His'!J52</f>
        <v>4450000</v>
      </c>
      <c r="I72" s="89">
        <f>CAPM!C50</f>
        <v>2.1601288411623641E-2</v>
      </c>
      <c r="J72" s="89">
        <f>CAPM!D50</f>
        <v>7.3460380390787561E-2</v>
      </c>
      <c r="K72" s="89">
        <f>CAPM!E50</f>
        <v>5.5191666666666661E-3</v>
      </c>
      <c r="L72" s="89">
        <f t="shared" si="0"/>
        <v>6.7941213724120889E-2</v>
      </c>
      <c r="M72" s="90">
        <f t="shared" si="1"/>
        <v>1.6082121744956976E-2</v>
      </c>
      <c r="O72" s="91">
        <v>10</v>
      </c>
      <c r="P72">
        <v>0.14007818904176284</v>
      </c>
      <c r="Q72">
        <v>-6.7178232505291591E-2</v>
      </c>
      <c r="R72"/>
      <c r="S72"/>
      <c r="T72"/>
      <c r="U72"/>
      <c r="V72"/>
      <c r="W72" s="92"/>
      <c r="Y72" s="91">
        <v>10</v>
      </c>
      <c r="Z72">
        <v>8.8458900627122194E-2</v>
      </c>
      <c r="AA72">
        <v>-1.555894409065095E-2</v>
      </c>
      <c r="AB72"/>
      <c r="AC72"/>
      <c r="AD72"/>
      <c r="AE72"/>
      <c r="AF72"/>
      <c r="AG72" s="92"/>
    </row>
    <row r="73" spans="2:33">
      <c r="B73" s="81">
        <f>'Adani Total Gas Stock Price His'!A53</f>
        <v>44207</v>
      </c>
      <c r="C73" s="82">
        <f>'Adani Total Gas Stock Price His'!B53</f>
        <v>1599.85</v>
      </c>
      <c r="D73" s="82">
        <f>'Adani Total Gas Stock Price His'!J53</f>
        <v>8940000</v>
      </c>
      <c r="I73" s="89">
        <f>CAPM!C51</f>
        <v>-3.9737040444249035E-2</v>
      </c>
      <c r="J73" s="89">
        <f>CAPM!D51</f>
        <v>0.10564877866682235</v>
      </c>
      <c r="K73" s="89">
        <f>CAPM!E51</f>
        <v>5.5191666666666661E-3</v>
      </c>
      <c r="L73" s="89">
        <f t="shared" si="0"/>
        <v>0.10012961200015567</v>
      </c>
      <c r="M73" s="90">
        <f t="shared" si="1"/>
        <v>-4.52562071109157E-2</v>
      </c>
      <c r="O73" s="91">
        <v>11</v>
      </c>
      <c r="P73">
        <v>-0.19748450136356133</v>
      </c>
      <c r="Q73">
        <v>4.849960504914011E-2</v>
      </c>
      <c r="R73"/>
      <c r="S73"/>
      <c r="T73"/>
      <c r="U73"/>
      <c r="V73"/>
      <c r="W73" s="92"/>
      <c r="Y73" s="91">
        <v>11</v>
      </c>
      <c r="Z73">
        <v>-0.26072561842168762</v>
      </c>
      <c r="AA73">
        <v>0.1117407221072664</v>
      </c>
      <c r="AB73"/>
      <c r="AC73"/>
      <c r="AD73"/>
      <c r="AE73"/>
      <c r="AF73"/>
      <c r="AG73" s="92"/>
    </row>
    <row r="74" spans="2:33">
      <c r="B74" s="81">
        <f>'Adani Total Gas Stock Price His'!A54</f>
        <v>44206</v>
      </c>
      <c r="C74" s="82">
        <f>'Adani Total Gas Stock Price His'!B54</f>
        <v>1439.45</v>
      </c>
      <c r="D74" s="82">
        <f>'Adani Total Gas Stock Price His'!J54</f>
        <v>8029999.9999999991</v>
      </c>
      <c r="I74" s="89">
        <f>CAPM!C52</f>
        <v>3.0320399087917201E-3</v>
      </c>
      <c r="J74" s="89">
        <f>CAPM!D52</f>
        <v>1.1388371528449022E-2</v>
      </c>
      <c r="K74" s="89">
        <f>CAPM!E52</f>
        <v>5.5191666666666661E-3</v>
      </c>
      <c r="L74" s="89">
        <f t="shared" si="0"/>
        <v>5.8692048617823558E-3</v>
      </c>
      <c r="M74" s="90">
        <f t="shared" si="1"/>
        <v>-2.4871267578749461E-3</v>
      </c>
      <c r="O74" s="91">
        <v>12</v>
      </c>
      <c r="P74">
        <v>-4.5383544124253869E-2</v>
      </c>
      <c r="Q74">
        <v>-0.12853444812727111</v>
      </c>
      <c r="R74"/>
      <c r="S74"/>
      <c r="T74"/>
      <c r="U74"/>
      <c r="V74"/>
      <c r="W74" s="92"/>
      <c r="Y74" s="91">
        <v>12</v>
      </c>
      <c r="Z74">
        <v>-0.10338803014527462</v>
      </c>
      <c r="AA74">
        <v>-7.0529962106250343E-2</v>
      </c>
      <c r="AB74"/>
      <c r="AC74"/>
      <c r="AD74"/>
      <c r="AE74"/>
      <c r="AF74"/>
      <c r="AG74" s="92"/>
    </row>
    <row r="75" spans="2:33">
      <c r="B75" s="81">
        <f>'Adani Total Gas Stock Price His'!A55</f>
        <v>44205</v>
      </c>
      <c r="C75" s="82">
        <f>'Adani Total Gas Stock Price His'!B55</f>
        <v>1423.15</v>
      </c>
      <c r="D75" s="82">
        <f>'Adani Total Gas Stock Price His'!J55</f>
        <v>9250000</v>
      </c>
      <c r="I75" s="89">
        <f>CAPM!C53</f>
        <v>2.7969886925890988E-2</v>
      </c>
      <c r="J75" s="89">
        <f>CAPM!D53</f>
        <v>-2.0413485088270945E-2</v>
      </c>
      <c r="K75" s="89">
        <f>CAPM!E53</f>
        <v>5.5191666666666661E-3</v>
      </c>
      <c r="L75" s="89">
        <f t="shared" si="0"/>
        <v>-2.593265175493761E-2</v>
      </c>
      <c r="M75" s="90">
        <f t="shared" si="1"/>
        <v>2.2450720259224323E-2</v>
      </c>
      <c r="O75" s="91">
        <v>13</v>
      </c>
      <c r="P75">
        <v>-8.577407788906502E-2</v>
      </c>
      <c r="Q75">
        <v>1.5022688172314724E-2</v>
      </c>
      <c r="R75"/>
      <c r="S75"/>
      <c r="T75"/>
      <c r="U75"/>
      <c r="V75"/>
      <c r="W75" s="92"/>
      <c r="Y75" s="91">
        <v>13</v>
      </c>
      <c r="Z75">
        <v>-0.14516915557076343</v>
      </c>
      <c r="AA75">
        <v>7.4417765854013135E-2</v>
      </c>
      <c r="AB75"/>
      <c r="AC75"/>
      <c r="AD75"/>
      <c r="AE75"/>
      <c r="AF75"/>
      <c r="AG75" s="92"/>
    </row>
    <row r="76" spans="2:33">
      <c r="B76" s="81">
        <f>'Adani Total Gas Stock Price His'!A56</f>
        <v>44204</v>
      </c>
      <c r="C76" s="82">
        <f>'Adani Total Gas Stock Price His'!B56</f>
        <v>1452.5</v>
      </c>
      <c r="D76" s="82">
        <f>'Adani Total Gas Stock Price His'!J56</f>
        <v>5530000</v>
      </c>
      <c r="I76" s="89">
        <f>CAPM!C54</f>
        <v>8.3291140120818716E-2</v>
      </c>
      <c r="J76" s="89">
        <f>CAPM!D54</f>
        <v>0.48695895423250518</v>
      </c>
      <c r="K76" s="89">
        <f>CAPM!E54</f>
        <v>5.5191666666666661E-3</v>
      </c>
      <c r="L76" s="89">
        <f t="shared" si="0"/>
        <v>0.4814397875658385</v>
      </c>
      <c r="M76" s="90">
        <f t="shared" si="1"/>
        <v>7.7771973454152044E-2</v>
      </c>
      <c r="O76" s="91">
        <v>14</v>
      </c>
      <c r="P76">
        <v>-3.7863564680875157E-2</v>
      </c>
      <c r="Q76">
        <v>0.15531876433323985</v>
      </c>
      <c r="R76"/>
      <c r="S76"/>
      <c r="T76"/>
      <c r="U76"/>
      <c r="V76"/>
      <c r="W76" s="92"/>
      <c r="Y76" s="91">
        <v>14</v>
      </c>
      <c r="Z76">
        <v>-9.5609147941082662E-2</v>
      </c>
      <c r="AA76">
        <v>0.21306434759344736</v>
      </c>
      <c r="AB76"/>
      <c r="AC76"/>
      <c r="AD76"/>
      <c r="AE76"/>
      <c r="AF76"/>
      <c r="AG76" s="92"/>
    </row>
    <row r="77" spans="2:33">
      <c r="B77" s="81">
        <f>'Adani Total Gas Stock Price His'!A57</f>
        <v>44203</v>
      </c>
      <c r="C77" s="82">
        <f>'Adani Total Gas Stock Price His'!B57</f>
        <v>892.55</v>
      </c>
      <c r="D77" s="82">
        <f>'Adani Total Gas Stock Price His'!J57</f>
        <v>7750000</v>
      </c>
      <c r="I77" s="89">
        <f>CAPM!C55</f>
        <v>2.6393913281980434E-3</v>
      </c>
      <c r="J77" s="89">
        <f>CAPM!D55</f>
        <v>-0.13332830214701727</v>
      </c>
      <c r="K77" s="89">
        <f>CAPM!E55</f>
        <v>5.5191666666666661E-3</v>
      </c>
      <c r="L77" s="89">
        <f t="shared" si="0"/>
        <v>-0.13884746881368393</v>
      </c>
      <c r="M77" s="90">
        <f t="shared" si="1"/>
        <v>-2.8797753384686227E-3</v>
      </c>
      <c r="O77" s="91">
        <v>15</v>
      </c>
      <c r="P77">
        <v>-0.20734621895170416</v>
      </c>
      <c r="Q77">
        <v>0.11119124524343309</v>
      </c>
      <c r="R77"/>
      <c r="S77"/>
      <c r="T77"/>
      <c r="U77"/>
      <c r="V77"/>
      <c r="W77" s="92"/>
      <c r="Y77" s="91">
        <v>15</v>
      </c>
      <c r="Z77">
        <v>-0.27092686166002072</v>
      </c>
      <c r="AA77">
        <v>0.17477188795174964</v>
      </c>
      <c r="AB77"/>
      <c r="AC77"/>
      <c r="AD77"/>
      <c r="AE77"/>
      <c r="AF77"/>
      <c r="AG77" s="92"/>
    </row>
    <row r="78" spans="2:33">
      <c r="B78" s="81">
        <f>'Adani Total Gas Stock Price His'!A58</f>
        <v>44202</v>
      </c>
      <c r="C78" s="82">
        <f>'Adani Total Gas Stock Price His'!B58</f>
        <v>1019.85</v>
      </c>
      <c r="D78" s="82">
        <f>'Adani Total Gas Stock Price His'!J58</f>
        <v>20360000</v>
      </c>
      <c r="I78" s="89">
        <f>CAPM!C56</f>
        <v>8.8614604142238061E-3</v>
      </c>
      <c r="J78" s="89">
        <f>CAPM!D56</f>
        <v>-0.27959681990807522</v>
      </c>
      <c r="K78" s="89">
        <f>CAPM!E56</f>
        <v>5.5191666666666661E-3</v>
      </c>
      <c r="L78" s="89">
        <f t="shared" si="0"/>
        <v>-0.28511598657474191</v>
      </c>
      <c r="M78" s="90">
        <f t="shared" si="1"/>
        <v>3.34229374755714E-3</v>
      </c>
      <c r="O78" s="91">
        <v>16</v>
      </c>
      <c r="P78">
        <v>3.3089053319219679E-2</v>
      </c>
      <c r="Q78">
        <v>-9.2862796140315951E-2</v>
      </c>
      <c r="R78"/>
      <c r="S78"/>
      <c r="T78"/>
      <c r="U78"/>
      <c r="V78"/>
      <c r="W78" s="92"/>
      <c r="Y78" s="91">
        <v>16</v>
      </c>
      <c r="Z78">
        <v>-2.221372689538563E-2</v>
      </c>
      <c r="AA78">
        <v>-3.7560015925710642E-2</v>
      </c>
      <c r="AB78"/>
      <c r="AC78"/>
      <c r="AD78"/>
      <c r="AE78"/>
      <c r="AF78"/>
      <c r="AG78" s="92"/>
    </row>
    <row r="79" spans="2:33">
      <c r="B79" s="81">
        <f>'Adani Total Gas Stock Price His'!A59</f>
        <v>44201</v>
      </c>
      <c r="C79" s="82">
        <f>'Adani Total Gas Stock Price His'!B59</f>
        <v>1348.85</v>
      </c>
      <c r="D79" s="82">
        <f>'Adani Total Gas Stock Price His'!J59</f>
        <v>75610000</v>
      </c>
      <c r="I79" s="89">
        <f>CAPM!C57</f>
        <v>6.3018341706496755E-2</v>
      </c>
      <c r="J79" s="89">
        <f>CAPM!D57</f>
        <v>0.15883847385130262</v>
      </c>
      <c r="K79" s="89">
        <f>CAPM!E57</f>
        <v>5.5191666666666661E-3</v>
      </c>
      <c r="L79" s="89">
        <f t="shared" si="0"/>
        <v>0.15331930718463596</v>
      </c>
      <c r="M79" s="90">
        <f t="shared" si="1"/>
        <v>5.749917503983009E-2</v>
      </c>
      <c r="O79" s="91">
        <v>17</v>
      </c>
      <c r="P79">
        <v>2.1030613237784813E-3</v>
      </c>
      <c r="Q79">
        <v>-8.3212984008950497E-2</v>
      </c>
      <c r="R79"/>
      <c r="S79"/>
      <c r="T79"/>
      <c r="U79"/>
      <c r="V79"/>
      <c r="W79" s="92"/>
      <c r="Y79" s="91">
        <v>17</v>
      </c>
      <c r="Z79">
        <v>-5.4266524848816527E-2</v>
      </c>
      <c r="AA79">
        <v>-2.684339783635549E-2</v>
      </c>
      <c r="AB79"/>
      <c r="AC79"/>
      <c r="AD79"/>
      <c r="AE79"/>
      <c r="AF79"/>
      <c r="AG79" s="92"/>
    </row>
    <row r="80" spans="2:33">
      <c r="B80" s="81">
        <f>'Adani Total Gas Stock Price His'!A60</f>
        <v>44200</v>
      </c>
      <c r="C80" s="82">
        <f>'Adani Total Gas Stock Price His'!B60</f>
        <v>1150.75</v>
      </c>
      <c r="D80" s="82">
        <f>'Adani Total Gas Stock Price His'!J60</f>
        <v>50400000</v>
      </c>
      <c r="I80" s="89">
        <f>CAPM!C58</f>
        <v>-4.0652403385876409E-3</v>
      </c>
      <c r="J80" s="89">
        <f>CAPM!D58</f>
        <v>0.1799346618774971</v>
      </c>
      <c r="K80" s="89">
        <f>CAPM!E58</f>
        <v>5.5191666666666661E-3</v>
      </c>
      <c r="L80" s="89">
        <f t="shared" si="0"/>
        <v>0.17441549521083044</v>
      </c>
      <c r="M80" s="90">
        <f t="shared" si="1"/>
        <v>-9.5844070052543071E-3</v>
      </c>
      <c r="O80" s="91">
        <v>18</v>
      </c>
      <c r="P80">
        <v>7.715010846571399E-2</v>
      </c>
      <c r="Q80">
        <v>-8.3171633436043585E-2</v>
      </c>
      <c r="R80"/>
      <c r="S80"/>
      <c r="T80"/>
      <c r="U80"/>
      <c r="V80"/>
      <c r="W80" s="92"/>
      <c r="Y80" s="91">
        <v>18</v>
      </c>
      <c r="Z80">
        <v>2.3364291017784325E-2</v>
      </c>
      <c r="AA80">
        <v>-2.9385815988113923E-2</v>
      </c>
      <c r="AB80"/>
      <c r="AC80"/>
      <c r="AD80"/>
      <c r="AE80"/>
      <c r="AF80"/>
      <c r="AG80" s="92"/>
    </row>
    <row r="81" spans="2:33">
      <c r="B81" s="81">
        <f>'Adani Total Gas Stock Price His'!A61</f>
        <v>44199</v>
      </c>
      <c r="C81" s="82">
        <f>'Adani Total Gas Stock Price His'!B61</f>
        <v>961.25</v>
      </c>
      <c r="D81" s="82">
        <f>'Adani Total Gas Stock Price His'!J61</f>
        <v>58840000</v>
      </c>
      <c r="I81" s="89">
        <f>CAPM!C59</f>
        <v>1.1057664298936155E-2</v>
      </c>
      <c r="J81" s="89">
        <f>CAPM!D59</f>
        <v>0.6295193470544288</v>
      </c>
      <c r="K81" s="89">
        <f>CAPM!E59</f>
        <v>5.5191666666666661E-3</v>
      </c>
      <c r="L81" s="89">
        <f t="shared" si="0"/>
        <v>0.62400018038776217</v>
      </c>
      <c r="M81" s="90">
        <f t="shared" si="1"/>
        <v>5.5384976322694892E-3</v>
      </c>
      <c r="O81" s="91">
        <v>19</v>
      </c>
      <c r="P81">
        <v>0.1469732356586467</v>
      </c>
      <c r="Q81">
        <v>-0.3008546779447589</v>
      </c>
      <c r="R81"/>
      <c r="S81"/>
      <c r="T81"/>
      <c r="U81"/>
      <c r="V81"/>
      <c r="W81" s="92"/>
      <c r="Y81" s="91">
        <v>19</v>
      </c>
      <c r="Z81">
        <v>9.559133440955464E-2</v>
      </c>
      <c r="AA81">
        <v>-0.24947277669566684</v>
      </c>
      <c r="AB81"/>
      <c r="AC81"/>
      <c r="AD81"/>
      <c r="AE81"/>
      <c r="AF81"/>
      <c r="AG81" s="92"/>
    </row>
    <row r="82" spans="2:33">
      <c r="B82" s="81">
        <f>'Adani Total Gas Stock Price His'!A62</f>
        <v>44198</v>
      </c>
      <c r="C82" s="82">
        <f>'Adani Total Gas Stock Price His'!B62</f>
        <v>512.20000000000005</v>
      </c>
      <c r="D82" s="82">
        <f>'Adani Total Gas Stock Price His'!J62</f>
        <v>42810000</v>
      </c>
      <c r="I82" s="89">
        <f>CAPM!C60</f>
        <v>6.3546296614860345E-2</v>
      </c>
      <c r="J82" s="89">
        <f>CAPM!D60</f>
        <v>0.29578457365329847</v>
      </c>
      <c r="K82" s="89">
        <f>CAPM!E60</f>
        <v>5.5191666666666661E-3</v>
      </c>
      <c r="L82" s="89">
        <f t="shared" si="0"/>
        <v>0.29026540698663178</v>
      </c>
      <c r="M82" s="90">
        <f t="shared" si="1"/>
        <v>5.802712994819368E-2</v>
      </c>
      <c r="O82" s="91">
        <v>20</v>
      </c>
      <c r="P82">
        <v>-3.8455150903781168E-2</v>
      </c>
      <c r="Q82">
        <v>0.14502229718422355</v>
      </c>
      <c r="R82"/>
      <c r="S82"/>
      <c r="T82"/>
      <c r="U82"/>
      <c r="V82"/>
      <c r="W82" s="92"/>
      <c r="Y82" s="91">
        <v>20</v>
      </c>
      <c r="Z82">
        <v>-9.6221101680618565E-2</v>
      </c>
      <c r="AA82">
        <v>0.20278824796106093</v>
      </c>
      <c r="AB82"/>
      <c r="AC82"/>
      <c r="AD82"/>
      <c r="AE82"/>
      <c r="AF82"/>
      <c r="AG82" s="92"/>
    </row>
    <row r="83" spans="2:33">
      <c r="B83" s="81">
        <f>'Adani Total Gas Stock Price His'!A63</f>
        <v>44197</v>
      </c>
      <c r="C83" s="82">
        <f>'Adani Total Gas Stock Price His'!B63</f>
        <v>381.05</v>
      </c>
      <c r="D83" s="82">
        <f>'Adani Total Gas Stock Price His'!J63</f>
        <v>23510000</v>
      </c>
      <c r="I83" s="35"/>
      <c r="J83" s="35"/>
      <c r="K83" s="35"/>
      <c r="L83" s="35"/>
      <c r="M83" s="3"/>
      <c r="O83" s="91">
        <v>21</v>
      </c>
      <c r="P83">
        <v>4.9428337295402396E-3</v>
      </c>
      <c r="Q83">
        <v>-7.713635558957788E-3</v>
      </c>
      <c r="R83"/>
      <c r="S83"/>
      <c r="T83"/>
      <c r="U83"/>
      <c r="V83"/>
      <c r="W83" s="92"/>
      <c r="Y83" s="91">
        <v>21</v>
      </c>
      <c r="Z83">
        <v>-5.1328982905056858E-2</v>
      </c>
      <c r="AA83">
        <v>4.8558181075639306E-2</v>
      </c>
      <c r="AB83"/>
      <c r="AC83"/>
      <c r="AD83"/>
      <c r="AE83"/>
      <c r="AF83"/>
      <c r="AG83" s="92"/>
    </row>
    <row r="84" spans="2:33">
      <c r="O84" s="91">
        <v>22</v>
      </c>
      <c r="P84">
        <v>1.3700206119385947E-2</v>
      </c>
      <c r="Q84">
        <v>-0.12083319890418084</v>
      </c>
      <c r="R84"/>
      <c r="S84"/>
      <c r="T84"/>
      <c r="U84"/>
      <c r="V84"/>
      <c r="W84" s="92"/>
      <c r="Y84" s="91">
        <v>22</v>
      </c>
      <c r="Z84">
        <v>-4.2270105982350092E-2</v>
      </c>
      <c r="AA84">
        <v>-6.48628868024448E-2</v>
      </c>
      <c r="AB84"/>
      <c r="AC84"/>
      <c r="AD84"/>
      <c r="AE84"/>
      <c r="AF84"/>
      <c r="AG84" s="92"/>
    </row>
    <row r="85" spans="2:33">
      <c r="O85" s="91">
        <v>23</v>
      </c>
      <c r="P85">
        <v>3.2581867552482508E-3</v>
      </c>
      <c r="Q85">
        <v>4.2748436487057779E-3</v>
      </c>
      <c r="R85"/>
      <c r="S85"/>
      <c r="T85"/>
      <c r="U85"/>
      <c r="V85"/>
      <c r="W85" s="92"/>
      <c r="Y85" s="91">
        <v>23</v>
      </c>
      <c r="Z85">
        <v>-5.3071630005003964E-2</v>
      </c>
      <c r="AA85">
        <v>6.060466040895799E-2</v>
      </c>
      <c r="AB85"/>
      <c r="AC85"/>
      <c r="AD85"/>
      <c r="AE85"/>
      <c r="AF85"/>
      <c r="AG85" s="92"/>
    </row>
    <row r="86" spans="2:33">
      <c r="O86" s="91">
        <v>24</v>
      </c>
      <c r="P86">
        <v>-3.0075582245429507E-2</v>
      </c>
      <c r="Q86">
        <v>4.8953966256461492E-2</v>
      </c>
      <c r="R86"/>
      <c r="S86"/>
      <c r="T86"/>
      <c r="U86"/>
      <c r="V86"/>
      <c r="W86" s="92"/>
      <c r="Y86" s="91">
        <v>24</v>
      </c>
      <c r="Z86">
        <v>-8.7553035762878567E-2</v>
      </c>
      <c r="AA86">
        <v>0.10643141977391055</v>
      </c>
      <c r="AB86"/>
      <c r="AC86"/>
      <c r="AD86"/>
      <c r="AE86"/>
      <c r="AF86"/>
      <c r="AG86" s="92"/>
    </row>
    <row r="87" spans="2:33">
      <c r="O87" s="91">
        <v>25</v>
      </c>
      <c r="P87">
        <v>0.18237787840385117</v>
      </c>
      <c r="Q87">
        <v>0.14416164481843746</v>
      </c>
      <c r="R87"/>
      <c r="S87"/>
      <c r="T87"/>
      <c r="U87"/>
      <c r="V87"/>
      <c r="W87" s="92"/>
      <c r="Y87" s="91">
        <v>25</v>
      </c>
      <c r="Z87">
        <v>0.13221491130495955</v>
      </c>
      <c r="AA87">
        <v>0.19432461191732908</v>
      </c>
      <c r="AB87"/>
      <c r="AC87"/>
      <c r="AD87"/>
      <c r="AE87"/>
      <c r="AF87"/>
      <c r="AG87" s="92"/>
    </row>
    <row r="88" spans="2:33">
      <c r="O88" s="91">
        <v>26</v>
      </c>
      <c r="P88">
        <v>0.119621198750146</v>
      </c>
      <c r="Q88">
        <v>0.1028470088989641</v>
      </c>
      <c r="R88"/>
      <c r="S88"/>
      <c r="T88"/>
      <c r="U88"/>
      <c r="V88"/>
      <c r="W88" s="92"/>
      <c r="Y88" s="91">
        <v>26</v>
      </c>
      <c r="Z88">
        <v>6.7297603720798793E-2</v>
      </c>
      <c r="AA88">
        <v>0.15517060392831131</v>
      </c>
      <c r="AB88"/>
      <c r="AC88"/>
      <c r="AD88"/>
      <c r="AE88"/>
      <c r="AF88"/>
      <c r="AG88" s="92"/>
    </row>
    <row r="89" spans="2:33">
      <c r="O89" s="91">
        <v>27</v>
      </c>
      <c r="P89">
        <v>-0.10934346138637416</v>
      </c>
      <c r="Q89">
        <v>2.0637636556203168E-2</v>
      </c>
      <c r="R89"/>
      <c r="S89"/>
      <c r="T89"/>
      <c r="U89"/>
      <c r="V89"/>
      <c r="W89" s="92"/>
      <c r="Y89" s="91">
        <v>27</v>
      </c>
      <c r="Z89">
        <v>-0.16955000118762559</v>
      </c>
      <c r="AA89">
        <v>8.0844176357454597E-2</v>
      </c>
      <c r="AB89"/>
      <c r="AC89"/>
      <c r="AD89"/>
      <c r="AE89"/>
      <c r="AF89"/>
      <c r="AG89" s="92"/>
    </row>
    <row r="90" spans="2:33">
      <c r="O90" s="91">
        <v>28</v>
      </c>
      <c r="P90">
        <v>2.5455798522369018E-2</v>
      </c>
      <c r="Q90">
        <v>-6.7086330527139262E-2</v>
      </c>
      <c r="R90"/>
      <c r="S90"/>
      <c r="T90"/>
      <c r="U90"/>
      <c r="V90"/>
      <c r="W90" s="92"/>
      <c r="Y90" s="91">
        <v>28</v>
      </c>
      <c r="Z90">
        <v>-3.010978437085738E-2</v>
      </c>
      <c r="AA90">
        <v>-1.1520747633912864E-2</v>
      </c>
      <c r="AB90"/>
      <c r="AC90"/>
      <c r="AD90"/>
      <c r="AE90"/>
      <c r="AF90"/>
      <c r="AG90" s="92"/>
    </row>
    <row r="91" spans="2:33">
      <c r="O91" s="91">
        <v>29</v>
      </c>
      <c r="P91">
        <v>-0.10040604096201261</v>
      </c>
      <c r="Q91">
        <v>5.1940682620168807E-2</v>
      </c>
      <c r="R91"/>
      <c r="S91"/>
      <c r="T91"/>
      <c r="U91"/>
      <c r="V91"/>
      <c r="W91" s="92"/>
      <c r="Y91" s="91">
        <v>29</v>
      </c>
      <c r="Z91">
        <v>-0.16030487741914742</v>
      </c>
      <c r="AA91">
        <v>0.11183951907730362</v>
      </c>
      <c r="AB91"/>
      <c r="AC91"/>
      <c r="AD91"/>
      <c r="AE91"/>
      <c r="AF91"/>
      <c r="AG91" s="92"/>
    </row>
    <row r="92" spans="2:33">
      <c r="O92" s="91">
        <v>30</v>
      </c>
      <c r="P92">
        <v>5.1045658761797216E-2</v>
      </c>
      <c r="Q92">
        <v>-4.2758947343664658E-2</v>
      </c>
      <c r="R92"/>
      <c r="S92"/>
      <c r="T92"/>
      <c r="U92"/>
      <c r="V92"/>
      <c r="W92" s="92"/>
      <c r="Y92" s="91">
        <v>30</v>
      </c>
      <c r="Z92">
        <v>-3.638899719767219E-3</v>
      </c>
      <c r="AA92">
        <v>1.1925611137899781E-2</v>
      </c>
      <c r="AB92"/>
      <c r="AC92"/>
      <c r="AD92"/>
      <c r="AE92"/>
      <c r="AF92"/>
      <c r="AG92" s="92"/>
    </row>
    <row r="93" spans="2:33">
      <c r="O93" s="91">
        <v>31</v>
      </c>
      <c r="P93">
        <v>6.6858553936866572E-2</v>
      </c>
      <c r="Q93">
        <v>-8.6861386114965355E-2</v>
      </c>
      <c r="R93"/>
      <c r="S93"/>
      <c r="T93"/>
      <c r="U93"/>
      <c r="V93"/>
      <c r="W93" s="92"/>
      <c r="Y93" s="91">
        <v>31</v>
      </c>
      <c r="Z93">
        <v>1.2718412131983423E-2</v>
      </c>
      <c r="AA93">
        <v>-3.2721244310082206E-2</v>
      </c>
      <c r="AB93"/>
      <c r="AC93"/>
      <c r="AD93"/>
      <c r="AE93"/>
      <c r="AF93"/>
      <c r="AG93" s="92"/>
    </row>
    <row r="94" spans="2:33">
      <c r="O94" s="91">
        <v>32</v>
      </c>
      <c r="P94">
        <v>4.1749677485978041E-2</v>
      </c>
      <c r="Q94">
        <v>-0.3999457440678752</v>
      </c>
      <c r="R94"/>
      <c r="S94"/>
      <c r="T94"/>
      <c r="U94"/>
      <c r="V94"/>
      <c r="W94" s="92"/>
      <c r="Y94" s="91">
        <v>32</v>
      </c>
      <c r="Z94">
        <v>-1.3254929106741378E-2</v>
      </c>
      <c r="AA94">
        <v>-0.34494113747515581</v>
      </c>
      <c r="AB94"/>
      <c r="AC94"/>
      <c r="AD94"/>
      <c r="AE94"/>
      <c r="AF94"/>
      <c r="AG94" s="92"/>
    </row>
    <row r="95" spans="2:33">
      <c r="O95" s="91">
        <v>33</v>
      </c>
      <c r="P95">
        <v>8.1023582309942277E-2</v>
      </c>
      <c r="Q95">
        <v>-1.2614762247617484E-3</v>
      </c>
      <c r="R95"/>
      <c r="S95"/>
      <c r="T95"/>
      <c r="U95"/>
      <c r="V95"/>
      <c r="W95" s="92"/>
      <c r="Y95" s="91">
        <v>33</v>
      </c>
      <c r="Z95">
        <v>2.737112334786479E-2</v>
      </c>
      <c r="AA95">
        <v>5.2390982737315739E-2</v>
      </c>
      <c r="AB95"/>
      <c r="AC95"/>
      <c r="AD95"/>
      <c r="AE95"/>
      <c r="AF95"/>
      <c r="AG95" s="92"/>
    </row>
    <row r="96" spans="2:33">
      <c r="O96" s="91">
        <v>34</v>
      </c>
      <c r="P96">
        <v>-2.0425211854713889E-2</v>
      </c>
      <c r="Q96">
        <v>0.26085153140256329</v>
      </c>
      <c r="R96"/>
      <c r="S96"/>
      <c r="T96"/>
      <c r="U96"/>
      <c r="V96"/>
      <c r="W96" s="92"/>
      <c r="Y96" s="91">
        <v>34</v>
      </c>
      <c r="Z96">
        <v>-7.7570416121238939E-2</v>
      </c>
      <c r="AA96">
        <v>0.31799673566908832</v>
      </c>
      <c r="AB96"/>
      <c r="AC96"/>
      <c r="AD96"/>
      <c r="AE96"/>
      <c r="AF96"/>
      <c r="AG96" s="92"/>
    </row>
    <row r="97" spans="15:33">
      <c r="O97" s="91">
        <v>35</v>
      </c>
      <c r="P97">
        <v>-8.6136843745819869E-2</v>
      </c>
      <c r="Q97">
        <v>-1.0530139362145559</v>
      </c>
      <c r="R97"/>
      <c r="S97"/>
      <c r="T97"/>
      <c r="U97"/>
      <c r="V97"/>
      <c r="W97" s="92"/>
      <c r="Y97" s="91">
        <v>35</v>
      </c>
      <c r="Z97">
        <v>-0.14554441096722376</v>
      </c>
      <c r="AA97">
        <v>-0.99360636899315202</v>
      </c>
      <c r="AB97"/>
      <c r="AC97"/>
      <c r="AD97"/>
      <c r="AE97"/>
      <c r="AF97"/>
      <c r="AG97" s="92"/>
    </row>
    <row r="98" spans="15:33" ht="14.4" thickBot="1">
      <c r="O98" s="91">
        <v>36</v>
      </c>
      <c r="P98">
        <v>-9.803171462833167E-2</v>
      </c>
      <c r="Q98">
        <v>-0.46805146686066063</v>
      </c>
      <c r="R98"/>
      <c r="S98"/>
      <c r="T98"/>
      <c r="U98"/>
      <c r="V98"/>
      <c r="W98" s="92"/>
      <c r="Y98" s="94">
        <v>36</v>
      </c>
      <c r="Z98" s="28">
        <v>-0.15784880622865005</v>
      </c>
      <c r="AA98" s="28">
        <v>-0.40823437526034223</v>
      </c>
      <c r="AB98" s="28"/>
      <c r="AC98" s="28"/>
      <c r="AD98" s="28"/>
      <c r="AE98" s="28"/>
      <c r="AF98" s="28"/>
      <c r="AG98" s="97"/>
    </row>
    <row r="99" spans="15:33">
      <c r="O99" s="91">
        <v>37</v>
      </c>
      <c r="P99">
        <v>-0.12755927547990542</v>
      </c>
      <c r="Q99">
        <v>0.13844868925584791</v>
      </c>
      <c r="R99"/>
      <c r="S99"/>
      <c r="T99"/>
      <c r="U99"/>
      <c r="V99"/>
      <c r="W99" s="92"/>
    </row>
    <row r="100" spans="15:33">
      <c r="O100" s="91">
        <v>38</v>
      </c>
      <c r="P100">
        <v>8.3151153995043511E-2</v>
      </c>
      <c r="Q100">
        <v>-8.040558236900805E-2</v>
      </c>
      <c r="R100"/>
      <c r="S100"/>
      <c r="T100"/>
      <c r="U100"/>
      <c r="V100"/>
      <c r="W100" s="92"/>
    </row>
    <row r="101" spans="15:33">
      <c r="O101" s="91">
        <v>39</v>
      </c>
      <c r="P101">
        <v>0.11561147225519371</v>
      </c>
      <c r="Q101">
        <v>-4.5331335796370373E-2</v>
      </c>
      <c r="R101"/>
      <c r="S101"/>
      <c r="T101"/>
      <c r="U101"/>
      <c r="V101"/>
      <c r="W101" s="92"/>
    </row>
    <row r="102" spans="15:33">
      <c r="O102" s="91">
        <v>40</v>
      </c>
      <c r="P102">
        <v>-0.13511765275538426</v>
      </c>
      <c r="Q102">
        <v>1.5116116143984434E-2</v>
      </c>
      <c r="R102"/>
      <c r="S102"/>
      <c r="T102"/>
      <c r="U102"/>
      <c r="V102"/>
      <c r="W102" s="92"/>
    </row>
    <row r="103" spans="15:33">
      <c r="O103" s="91">
        <v>41</v>
      </c>
      <c r="P103">
        <v>6.6079381394587411E-2</v>
      </c>
      <c r="Q103">
        <v>0.10867168218734718</v>
      </c>
      <c r="R103"/>
      <c r="S103"/>
      <c r="T103"/>
      <c r="U103"/>
      <c r="V103"/>
      <c r="W103" s="92"/>
    </row>
    <row r="104" spans="15:33">
      <c r="O104" s="91">
        <v>42</v>
      </c>
      <c r="P104">
        <v>0.2026923904867341</v>
      </c>
      <c r="Q104">
        <v>5.9420458840073909E-2</v>
      </c>
      <c r="R104"/>
      <c r="S104"/>
      <c r="T104"/>
      <c r="U104"/>
      <c r="V104"/>
      <c r="W104" s="92"/>
    </row>
    <row r="105" spans="15:33">
      <c r="O105" s="91">
        <v>43</v>
      </c>
      <c r="P105">
        <v>-0.16713293595802484</v>
      </c>
      <c r="Q105">
        <v>0.1595264344765453</v>
      </c>
      <c r="R105"/>
      <c r="S105"/>
      <c r="T105"/>
      <c r="U105"/>
      <c r="V105"/>
      <c r="W105" s="92"/>
    </row>
    <row r="106" spans="15:33">
      <c r="O106" s="91">
        <v>44</v>
      </c>
      <c r="P106">
        <v>-0.11459292262089947</v>
      </c>
      <c r="Q106">
        <v>8.7191405771084154E-2</v>
      </c>
      <c r="R106"/>
      <c r="S106"/>
      <c r="T106"/>
      <c r="U106"/>
      <c r="V106"/>
      <c r="W106" s="92"/>
    </row>
    <row r="107" spans="15:33">
      <c r="O107" s="91">
        <v>45</v>
      </c>
      <c r="P107">
        <v>-8.7433568266131301E-2</v>
      </c>
      <c r="Q107">
        <v>0.21301529154373311</v>
      </c>
      <c r="R107"/>
      <c r="S107"/>
      <c r="T107"/>
      <c r="U107"/>
      <c r="V107"/>
      <c r="W107" s="92"/>
    </row>
    <row r="108" spans="15:33">
      <c r="O108" s="91">
        <v>46</v>
      </c>
      <c r="P108">
        <v>7.9213102861255172E-2</v>
      </c>
      <c r="Q108">
        <v>0.21785237030147053</v>
      </c>
      <c r="R108"/>
      <c r="S108"/>
      <c r="T108"/>
      <c r="U108"/>
      <c r="V108"/>
      <c r="W108" s="92"/>
    </row>
    <row r="109" spans="15:33">
      <c r="O109" s="91">
        <v>47</v>
      </c>
      <c r="P109">
        <v>-0.11801743879806174</v>
      </c>
      <c r="Q109">
        <v>-2.4234631668448622E-2</v>
      </c>
      <c r="R109"/>
      <c r="S109"/>
      <c r="T109"/>
      <c r="U109"/>
      <c r="V109"/>
      <c r="W109" s="92"/>
    </row>
    <row r="110" spans="15:33">
      <c r="O110" s="91">
        <v>48</v>
      </c>
      <c r="P110">
        <v>-3.1617330510675432E-2</v>
      </c>
      <c r="Q110">
        <v>8.2250987129569034E-2</v>
      </c>
      <c r="R110"/>
      <c r="S110"/>
      <c r="T110"/>
      <c r="U110"/>
      <c r="V110"/>
      <c r="W110" s="92"/>
    </row>
    <row r="111" spans="15:33">
      <c r="O111" s="91">
        <v>49</v>
      </c>
      <c r="P111">
        <v>3.0522317359251518E-2</v>
      </c>
      <c r="Q111">
        <v>3.7418896364869371E-2</v>
      </c>
      <c r="R111"/>
      <c r="S111"/>
      <c r="T111"/>
      <c r="U111"/>
      <c r="V111"/>
      <c r="W111" s="92"/>
    </row>
    <row r="112" spans="15:33">
      <c r="O112" s="91">
        <v>50</v>
      </c>
      <c r="P112">
        <v>-0.13948496226755752</v>
      </c>
      <c r="Q112">
        <v>0.23961457426771321</v>
      </c>
      <c r="R112"/>
      <c r="S112"/>
      <c r="T112"/>
      <c r="U112"/>
      <c r="V112"/>
      <c r="W112" s="92"/>
    </row>
    <row r="113" spans="15:23">
      <c r="O113" s="91">
        <v>51</v>
      </c>
      <c r="P113">
        <v>-2.0944807382579499E-2</v>
      </c>
      <c r="Q113">
        <v>2.6814012244361855E-2</v>
      </c>
      <c r="R113"/>
      <c r="S113"/>
      <c r="T113"/>
      <c r="U113"/>
      <c r="V113"/>
      <c r="W113" s="92"/>
    </row>
    <row r="114" spans="15:23">
      <c r="O114" s="91">
        <v>52</v>
      </c>
      <c r="P114">
        <v>4.817372926827141E-2</v>
      </c>
      <c r="Q114">
        <v>-7.4106381023209017E-2</v>
      </c>
      <c r="R114"/>
      <c r="S114"/>
      <c r="T114"/>
      <c r="U114"/>
      <c r="V114"/>
      <c r="W114" s="92"/>
    </row>
    <row r="115" spans="15:23">
      <c r="O115" s="91">
        <v>53</v>
      </c>
      <c r="P115">
        <v>0.20150388900109764</v>
      </c>
      <c r="Q115">
        <v>0.27993589856474088</v>
      </c>
      <c r="R115"/>
      <c r="S115"/>
      <c r="T115"/>
      <c r="U115"/>
      <c r="V115"/>
      <c r="W115" s="92"/>
    </row>
    <row r="116" spans="15:23">
      <c r="O116" s="91">
        <v>54</v>
      </c>
      <c r="P116">
        <v>-2.2033084782391115E-2</v>
      </c>
      <c r="Q116">
        <v>-0.11681438403129281</v>
      </c>
      <c r="R116"/>
      <c r="S116"/>
      <c r="T116"/>
      <c r="U116"/>
      <c r="V116"/>
      <c r="W116" s="92"/>
    </row>
    <row r="117" spans="15:23">
      <c r="O117" s="91">
        <v>55</v>
      </c>
      <c r="P117">
        <v>-4.7877985364807793E-3</v>
      </c>
      <c r="Q117">
        <v>-0.28032818803826115</v>
      </c>
      <c r="R117"/>
      <c r="S117"/>
      <c r="T117"/>
      <c r="U117"/>
      <c r="V117"/>
      <c r="W117" s="92"/>
    </row>
    <row r="118" spans="15:23">
      <c r="O118" s="91">
        <v>56</v>
      </c>
      <c r="P118">
        <v>0.14531515068480122</v>
      </c>
      <c r="Q118">
        <v>8.0041564998347414E-3</v>
      </c>
      <c r="R118"/>
      <c r="S118"/>
      <c r="T118"/>
      <c r="U118"/>
      <c r="V118"/>
      <c r="W118" s="92"/>
    </row>
    <row r="119" spans="15:23">
      <c r="O119" s="91">
        <v>57</v>
      </c>
      <c r="P119">
        <v>-4.061585695488179E-2</v>
      </c>
      <c r="Q119">
        <v>0.21503135216571223</v>
      </c>
      <c r="R119"/>
      <c r="S119"/>
      <c r="T119"/>
      <c r="U119"/>
      <c r="V119"/>
      <c r="W119" s="92"/>
    </row>
    <row r="120" spans="15:23">
      <c r="O120" s="91">
        <v>58</v>
      </c>
      <c r="P120">
        <v>1.2992705915857786E-3</v>
      </c>
      <c r="Q120">
        <v>0.62270090979617643</v>
      </c>
      <c r="R120"/>
      <c r="S120"/>
      <c r="T120"/>
      <c r="U120"/>
      <c r="V120"/>
      <c r="W120" s="92"/>
    </row>
    <row r="121" spans="15:23" ht="14.4" thickBot="1">
      <c r="O121" s="94">
        <v>59</v>
      </c>
      <c r="P121" s="28">
        <v>0.14677844744248458</v>
      </c>
      <c r="Q121" s="28">
        <v>0.1434869595441472</v>
      </c>
      <c r="R121" s="28"/>
      <c r="S121" s="28"/>
      <c r="T121" s="28"/>
      <c r="U121" s="28"/>
      <c r="V121"/>
      <c r="W121" s="97"/>
    </row>
  </sheetData>
  <mergeCells count="4">
    <mergeCell ref="B3:C3"/>
    <mergeCell ref="B12:C12"/>
    <mergeCell ref="O38:W38"/>
    <mergeCell ref="Y38:AG3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CC0B0-4C30-4410-91B0-D8D5429AFB5E}">
  <dimension ref="B2:G37"/>
  <sheetViews>
    <sheetView topLeftCell="A12" zoomScale="85" zoomScaleNormal="85" workbookViewId="0">
      <selection activeCell="B30" sqref="B30:B37"/>
    </sheetView>
  </sheetViews>
  <sheetFormatPr defaultRowHeight="13.8"/>
  <cols>
    <col min="1" max="1" width="8.6640625" style="1"/>
    <col min="2" max="2" width="18.75" style="1" customWidth="1"/>
    <col min="3" max="3" width="17.25" style="1" customWidth="1"/>
    <col min="4" max="16384" width="8.6640625" style="1"/>
  </cols>
  <sheetData>
    <row r="2" spans="2:4">
      <c r="B2" s="16" t="s">
        <v>224</v>
      </c>
    </row>
    <row r="3" spans="2:4">
      <c r="B3" s="16" t="s">
        <v>225</v>
      </c>
    </row>
    <row r="4" spans="2:4">
      <c r="B4" s="16" t="s">
        <v>226</v>
      </c>
    </row>
    <row r="5" spans="2:4">
      <c r="B5" s="16" t="s">
        <v>227</v>
      </c>
    </row>
    <row r="6" spans="2:4">
      <c r="B6" s="16"/>
    </row>
    <row r="7" spans="2:4">
      <c r="B7" s="16"/>
    </row>
    <row r="9" spans="2:4">
      <c r="B9" s="41" t="s">
        <v>228</v>
      </c>
      <c r="C9" s="1" t="s">
        <v>229</v>
      </c>
    </row>
    <row r="10" spans="2:4" ht="16.2">
      <c r="B10" s="55" t="s">
        <v>235</v>
      </c>
    </row>
    <row r="11" spans="2:4">
      <c r="B11" s="1" t="s">
        <v>231</v>
      </c>
      <c r="C11" s="16" t="s">
        <v>232</v>
      </c>
    </row>
    <row r="12" spans="2:4">
      <c r="B12" s="1" t="s">
        <v>234</v>
      </c>
      <c r="C12" s="16" t="s">
        <v>233</v>
      </c>
    </row>
    <row r="14" spans="2:4" ht="15.6" thickBot="1">
      <c r="B14" s="53" t="s">
        <v>219</v>
      </c>
      <c r="C14" s="54" t="s">
        <v>238</v>
      </c>
    </row>
    <row r="15" spans="2:4" ht="15.6" thickBot="1">
      <c r="B15" s="63" t="s">
        <v>220</v>
      </c>
      <c r="C15" s="52">
        <f>'Dividend '!C3</f>
        <v>0.25</v>
      </c>
      <c r="D15" s="16" t="s">
        <v>237</v>
      </c>
    </row>
    <row r="16" spans="2:4" ht="15.6" thickBot="1">
      <c r="B16" s="63" t="s">
        <v>221</v>
      </c>
      <c r="C16" s="52">
        <v>0</v>
      </c>
      <c r="D16" s="16" t="s">
        <v>239</v>
      </c>
    </row>
    <row r="17" spans="2:7" ht="15.6" thickBot="1">
      <c r="B17" s="63" t="s">
        <v>222</v>
      </c>
      <c r="C17" s="52">
        <f>C15*(1+C16)</f>
        <v>0.25</v>
      </c>
      <c r="D17" s="16" t="s">
        <v>230</v>
      </c>
    </row>
    <row r="18" spans="2:7" ht="15.6" thickBot="1">
      <c r="B18" s="63" t="s">
        <v>223</v>
      </c>
      <c r="C18" s="56">
        <f>CAPM!E70</f>
        <v>0.2493421995794764</v>
      </c>
      <c r="D18" s="16" t="s">
        <v>241</v>
      </c>
    </row>
    <row r="19" spans="2:7" ht="15">
      <c r="B19" s="64" t="s">
        <v>248</v>
      </c>
      <c r="C19" s="57">
        <f>C17/(C18-C16)</f>
        <v>1.0026381431688378</v>
      </c>
      <c r="D19" s="16" t="s">
        <v>240</v>
      </c>
    </row>
    <row r="22" spans="2:7" ht="15.6" thickBot="1">
      <c r="B22" s="60" t="s">
        <v>242</v>
      </c>
      <c r="C22" s="61" t="s">
        <v>243</v>
      </c>
      <c r="D22" s="61" t="s">
        <v>244</v>
      </c>
      <c r="E22" s="61" t="s">
        <v>245</v>
      </c>
      <c r="F22" s="61" t="s">
        <v>246</v>
      </c>
      <c r="G22" s="61" t="s">
        <v>247</v>
      </c>
    </row>
    <row r="23" spans="2:7" ht="15.6" thickBot="1">
      <c r="B23" s="58">
        <v>0</v>
      </c>
      <c r="C23" s="62">
        <f>$C$17/($C$22-$B23)</f>
        <v>1.25</v>
      </c>
      <c r="D23" s="62">
        <f>$C$17/($D$22-$B23)</f>
        <v>1.1363636363636365</v>
      </c>
      <c r="E23" s="62">
        <f>$C$17/($E$22-$B23)</f>
        <v>1.0416666666666667</v>
      </c>
      <c r="F23" s="62">
        <f>$C$17/($F$22-$B23)</f>
        <v>0.96153846153846145</v>
      </c>
      <c r="G23" s="62">
        <f>$C$17/($G$22-$B23)</f>
        <v>0.89285714285714279</v>
      </c>
    </row>
    <row r="24" spans="2:7" ht="15.6" thickBot="1">
      <c r="B24" s="58">
        <v>0.01</v>
      </c>
      <c r="C24" s="62">
        <f>$C$17/($C$22-$B24)</f>
        <v>1.3157894736842106</v>
      </c>
      <c r="D24" s="62">
        <f>$C$17/($D$22-$B24)</f>
        <v>1.1904761904761905</v>
      </c>
      <c r="E24" s="62">
        <f>$C$17/($E$22-$B24)</f>
        <v>1.0869565217391306</v>
      </c>
      <c r="F24" s="62">
        <f>$C$17/($F$22-$B24)</f>
        <v>1</v>
      </c>
      <c r="G24" s="62">
        <f>$C$17/($G$22-$B24)</f>
        <v>0.92592592592592582</v>
      </c>
    </row>
    <row r="25" spans="2:7" ht="15.6" thickBot="1">
      <c r="B25" s="58">
        <v>0.02</v>
      </c>
      <c r="C25" s="62">
        <f>$C$17/($C$22-$B25)</f>
        <v>1.3888888888888886</v>
      </c>
      <c r="D25" s="62">
        <f>$C$17/($D$22-$B25)</f>
        <v>1.25</v>
      </c>
      <c r="E25" s="62">
        <f>$C$17/($E$22-$B25)</f>
        <v>1.1363636363636365</v>
      </c>
      <c r="F25" s="62">
        <f>$C$17/($F$22-$B25)</f>
        <v>1.0416666666666665</v>
      </c>
      <c r="G25" s="62">
        <f>$C$17/($G$22-$B25)</f>
        <v>0.96153846153846145</v>
      </c>
    </row>
    <row r="26" spans="2:7" ht="15.6" thickBot="1">
      <c r="B26" s="58">
        <v>0.03</v>
      </c>
      <c r="C26" s="62">
        <f>$C$17/($C$22-$B26)</f>
        <v>1.4705882352941175</v>
      </c>
      <c r="D26" s="62">
        <f>$C$17/($D$22-$B26)</f>
        <v>1.3157894736842106</v>
      </c>
      <c r="E26" s="62">
        <f>$C$17/($E$22-$B26)</f>
        <v>1.1904761904761905</v>
      </c>
      <c r="F26" s="62">
        <f>$C$17/($F$22-$B26)</f>
        <v>1.0869565217391304</v>
      </c>
      <c r="G26" s="62">
        <f>$C$17/($G$22-$B26)</f>
        <v>1</v>
      </c>
    </row>
    <row r="27" spans="2:7" ht="15.6" thickBot="1">
      <c r="B27" s="58">
        <v>0.04</v>
      </c>
      <c r="C27" s="62">
        <f>$C$17/($C$22-$B27)</f>
        <v>1.5625</v>
      </c>
      <c r="D27" s="62">
        <f>$C$17/($D$22-$B27)</f>
        <v>1.3888888888888888</v>
      </c>
      <c r="E27" s="62">
        <f>$C$17/($E$22-$B27)</f>
        <v>1.25</v>
      </c>
      <c r="F27" s="62">
        <f>$C$17/($F$22-$B27)</f>
        <v>1.1363636363636365</v>
      </c>
      <c r="G27" s="62">
        <f>$C$17/($G$22-$B27)</f>
        <v>1.0416666666666665</v>
      </c>
    </row>
    <row r="28" spans="2:7">
      <c r="B28" s="59"/>
      <c r="C28" s="59"/>
      <c r="D28" s="59"/>
      <c r="E28" s="59"/>
      <c r="F28" s="59"/>
      <c r="G28" s="59"/>
    </row>
    <row r="30" spans="2:7">
      <c r="B30" s="65" t="s">
        <v>249</v>
      </c>
    </row>
    <row r="31" spans="2:7">
      <c r="B31" s="16" t="s">
        <v>253</v>
      </c>
    </row>
    <row r="32" spans="2:7">
      <c r="B32" s="16" t="s">
        <v>254</v>
      </c>
    </row>
    <row r="34" spans="2:2">
      <c r="B34" s="65" t="s">
        <v>250</v>
      </c>
    </row>
    <row r="35" spans="2:2">
      <c r="B35" s="16" t="s">
        <v>255</v>
      </c>
    </row>
    <row r="36" spans="2:2">
      <c r="B36" s="16" t="s">
        <v>251</v>
      </c>
    </row>
    <row r="37" spans="2:2">
      <c r="B37" s="16" t="s">
        <v>252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6D6CD-2BC8-4B80-9C7E-AB37FC1C27FC}">
  <dimension ref="A1:AB100"/>
  <sheetViews>
    <sheetView showGridLines="0" zoomScale="70" zoomScaleNormal="7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G15" sqref="G15"/>
    </sheetView>
  </sheetViews>
  <sheetFormatPr defaultRowHeight="14.4"/>
  <cols>
    <col min="1" max="1" width="8.1640625" style="5" bestFit="1" customWidth="1"/>
    <col min="2" max="2" width="8.6640625" style="5"/>
    <col min="3" max="3" width="14.75" customWidth="1"/>
    <col min="4" max="4" width="10.75" customWidth="1"/>
    <col min="5" max="5" width="30.08203125" customWidth="1"/>
    <col min="6" max="6" width="20.75" customWidth="1"/>
    <col min="9" max="9" width="12.75" customWidth="1"/>
  </cols>
  <sheetData>
    <row r="1" spans="1:14" ht="19.8">
      <c r="A1" s="21" t="s">
        <v>0</v>
      </c>
      <c r="B1" s="21" t="s">
        <v>1</v>
      </c>
      <c r="C1" s="21" t="s">
        <v>163</v>
      </c>
      <c r="D1" s="21" t="s">
        <v>165</v>
      </c>
      <c r="E1" s="21" t="s">
        <v>180</v>
      </c>
      <c r="F1" s="21" t="s">
        <v>164</v>
      </c>
      <c r="G1" s="9"/>
    </row>
    <row r="2" spans="1:14" ht="16.2">
      <c r="A2" s="6">
        <v>45669</v>
      </c>
      <c r="B2" s="7">
        <f>'Nifty 50 Historical Data'!B4</f>
        <v>26129.599999999999</v>
      </c>
      <c r="C2" s="22">
        <f>LN(B2/B3)</f>
        <v>-2.8032285081682996E-3</v>
      </c>
      <c r="D2" s="25">
        <f>'Monthly Vs Risk'!D2</f>
        <v>-6.8121955322308303E-2</v>
      </c>
      <c r="E2" s="35">
        <f>Reference!$B$4%/12</f>
        <v>5.5191666666666661E-3</v>
      </c>
      <c r="F2" s="3">
        <f>E2+(C2-E2)*$J$35</f>
        <v>-1.7547450732993901E-2</v>
      </c>
      <c r="I2" s="38" t="s">
        <v>211</v>
      </c>
      <c r="L2" s="23"/>
      <c r="M2" s="23"/>
    </row>
    <row r="3" spans="1:14">
      <c r="A3" s="6">
        <v>45668</v>
      </c>
      <c r="B3" s="7">
        <f>'Nifty 50 Historical Data'!B5</f>
        <v>26202.95</v>
      </c>
      <c r="C3" s="22">
        <f t="shared" ref="C3:C60" si="0">LN(B3/B4)</f>
        <v>1.8521455289600006E-2</v>
      </c>
      <c r="D3" s="25">
        <f>'Monthly Vs Risk'!D3</f>
        <v>-4.0304263883605029E-2</v>
      </c>
      <c r="E3" s="35">
        <f>Reference!$B$4%/12</f>
        <v>5.5191666666666661E-3</v>
      </c>
      <c r="F3" s="3">
        <f>E3+(C3-E3)*$J$35</f>
        <v>4.155672685030818E-2</v>
      </c>
      <c r="I3" s="23" t="s">
        <v>166</v>
      </c>
      <c r="J3" s="23"/>
      <c r="K3" s="23"/>
      <c r="L3" s="24"/>
      <c r="M3" s="24"/>
    </row>
    <row r="4" spans="1:14">
      <c r="A4" s="6">
        <v>45667</v>
      </c>
      <c r="B4" s="7">
        <f>'Nifty 50 Historical Data'!B6</f>
        <v>25722.1</v>
      </c>
      <c r="C4" s="22">
        <f t="shared" si="0"/>
        <v>4.4152983877309607E-2</v>
      </c>
      <c r="D4" s="25">
        <f>'Monthly Vs Risk'!D4</f>
        <v>1.0024747808234933E-2</v>
      </c>
      <c r="E4" s="35">
        <f>Reference!$B$4%/12</f>
        <v>5.5191666666666661E-3</v>
      </c>
      <c r="F4" s="3">
        <f t="shared" ref="F4:F60" si="1">E4+(C4-E4)*$J$35</f>
        <v>0.11259789359145417</v>
      </c>
      <c r="I4" s="24" t="s">
        <v>167</v>
      </c>
      <c r="J4" s="24" t="s">
        <v>168</v>
      </c>
      <c r="K4" s="24"/>
      <c r="L4" s="24"/>
      <c r="M4" s="24" t="s">
        <v>171</v>
      </c>
    </row>
    <row r="5" spans="1:14">
      <c r="A5" s="6">
        <v>45666</v>
      </c>
      <c r="B5" s="7">
        <f>'Nifty 50 Historical Data'!B7</f>
        <v>24611.1</v>
      </c>
      <c r="C5" s="22">
        <f t="shared" si="0"/>
        <v>7.514623553485914E-3</v>
      </c>
      <c r="D5" s="25">
        <f>'Monthly Vs Risk'!D5</f>
        <v>5.6246326742928406E-2</v>
      </c>
      <c r="E5" s="35">
        <f>Reference!$B$4%/12</f>
        <v>5.5191666666666661E-3</v>
      </c>
      <c r="F5" s="3">
        <f t="shared" si="1"/>
        <v>1.1049838976599381E-2</v>
      </c>
      <c r="I5" s="24" t="s">
        <v>169</v>
      </c>
      <c r="J5" s="24" t="s">
        <v>170</v>
      </c>
      <c r="K5" s="24"/>
      <c r="L5" s="24"/>
      <c r="M5" s="24"/>
    </row>
    <row r="6" spans="1:14">
      <c r="A6" s="6">
        <v>45665</v>
      </c>
      <c r="B6" s="7">
        <f>'Nifty 50 Historical Data'!B8</f>
        <v>24426.85</v>
      </c>
      <c r="C6" s="22">
        <f t="shared" si="0"/>
        <v>-1.3883691316309352E-2</v>
      </c>
      <c r="D6" s="25">
        <f>'Monthly Vs Risk'!D6</f>
        <v>-2.1754539314371713E-2</v>
      </c>
      <c r="E6" s="35">
        <f>Reference!$B$4%/12</f>
        <v>5.5191666666666661E-3</v>
      </c>
      <c r="F6" s="3">
        <f t="shared" si="1"/>
        <v>-4.825841684758081E-2</v>
      </c>
      <c r="I6" s="24" t="s">
        <v>172</v>
      </c>
      <c r="J6" s="24" t="s">
        <v>173</v>
      </c>
      <c r="K6" s="24"/>
      <c r="L6" s="24"/>
      <c r="M6" s="24"/>
    </row>
    <row r="7" spans="1:14">
      <c r="A7" s="6">
        <v>45664</v>
      </c>
      <c r="B7" s="7">
        <f>'Nifty 50 Historical Data'!B9</f>
        <v>24768.35</v>
      </c>
      <c r="C7" s="22">
        <f t="shared" si="0"/>
        <v>-2.9780227739192405E-2</v>
      </c>
      <c r="D7" s="25">
        <f>'Monthly Vs Risk'!D7</f>
        <v>-0.11208343801186135</v>
      </c>
      <c r="E7" s="35">
        <f>Reference!$B$4%/12</f>
        <v>5.5191666666666661E-3</v>
      </c>
      <c r="F7" s="3">
        <f t="shared" si="1"/>
        <v>-9.2317767063870376E-2</v>
      </c>
      <c r="I7" s="24" t="s">
        <v>174</v>
      </c>
      <c r="J7" s="24" t="s">
        <v>175</v>
      </c>
      <c r="K7" s="24"/>
      <c r="L7" s="24">
        <f>J35</f>
        <v>2.7716320740703089</v>
      </c>
      <c r="M7" s="24"/>
    </row>
    <row r="8" spans="1:14">
      <c r="A8" s="6">
        <v>45663</v>
      </c>
      <c r="B8" s="7">
        <f>'Nifty 50 Historical Data'!B10</f>
        <v>25517.05</v>
      </c>
      <c r="C8" s="22">
        <f t="shared" si="0"/>
        <v>3.0493084740585808E-2</v>
      </c>
      <c r="D8" s="25">
        <f>'Monthly Vs Risk'!D8</f>
        <v>-1.1769168579633936E-2</v>
      </c>
      <c r="E8" s="35">
        <f>Reference!$B$4%/12</f>
        <v>5.5191666666666661E-3</v>
      </c>
      <c r="F8" s="3">
        <f t="shared" si="1"/>
        <v>7.4737679015545164E-2</v>
      </c>
      <c r="I8" s="24" t="s">
        <v>176</v>
      </c>
      <c r="J8" s="24" t="s">
        <v>177</v>
      </c>
      <c r="K8" s="24"/>
      <c r="L8" s="24"/>
      <c r="M8" s="24"/>
    </row>
    <row r="9" spans="1:14">
      <c r="A9" s="6">
        <v>45662</v>
      </c>
      <c r="B9" s="7">
        <f>'Nifty 50 Historical Data'!B11</f>
        <v>24750.7</v>
      </c>
      <c r="C9" s="22">
        <f t="shared" si="0"/>
        <v>1.6971003158643107E-2</v>
      </c>
      <c r="D9" s="25">
        <f>'Monthly Vs Risk'!D9</f>
        <v>0.13032942072992404</v>
      </c>
      <c r="E9" s="35">
        <f>Reference!$B$4%/12</f>
        <v>5.5191666666666661E-3</v>
      </c>
      <c r="F9" s="3">
        <f t="shared" si="1"/>
        <v>3.7259443994837382E-2</v>
      </c>
      <c r="I9" s="24" t="s">
        <v>178</v>
      </c>
      <c r="J9" s="24"/>
      <c r="K9" s="24"/>
      <c r="L9" s="24"/>
      <c r="M9" s="24"/>
    </row>
    <row r="10" spans="1:14">
      <c r="A10" s="6">
        <v>45661</v>
      </c>
      <c r="B10" s="7">
        <f>'Nifty 50 Historical Data'!B12</f>
        <v>24334.2</v>
      </c>
      <c r="C10" s="22">
        <f t="shared" si="0"/>
        <v>3.4059281690265772E-2</v>
      </c>
      <c r="D10" s="25">
        <f>'Monthly Vs Risk'!D10</f>
        <v>-3.9906936899340786E-3</v>
      </c>
      <c r="E10" s="35">
        <f>Reference!$B$4%/12</f>
        <v>5.5191666666666661E-3</v>
      </c>
      <c r="F10" s="3">
        <f t="shared" si="1"/>
        <v>8.4621864863729843E-2</v>
      </c>
      <c r="N10" s="39"/>
    </row>
    <row r="11" spans="1:14">
      <c r="A11" s="6">
        <v>45660</v>
      </c>
      <c r="B11" s="7">
        <f>'Nifty 50 Historical Data'!B13</f>
        <v>23519.35</v>
      </c>
      <c r="C11" s="22">
        <f t="shared" si="0"/>
        <v>6.1128855114090719E-2</v>
      </c>
      <c r="D11" s="25">
        <f>'Monthly Vs Risk'!D11</f>
        <v>7.8419123203137917E-2</v>
      </c>
      <c r="E11" s="35">
        <f>Reference!$B$4%/12</f>
        <v>5.5191666666666661E-3</v>
      </c>
      <c r="F11" s="3">
        <f t="shared" si="1"/>
        <v>0.15964876279660428</v>
      </c>
    </row>
    <row r="12" spans="1:14">
      <c r="A12" s="6">
        <v>45659</v>
      </c>
      <c r="B12" s="7">
        <f>'Nifty 50 Historical Data'!B14</f>
        <v>22124.7</v>
      </c>
      <c r="C12" s="22">
        <f t="shared" si="0"/>
        <v>-6.0663172609701985E-2</v>
      </c>
      <c r="D12" s="25">
        <f>'Monthly Vs Risk'!D12</f>
        <v>-0.14346572964775456</v>
      </c>
      <c r="E12" s="35">
        <f>Reference!$B$4%/12</f>
        <v>5.5191666666666661E-3</v>
      </c>
      <c r="F12" s="3">
        <f t="shared" si="1"/>
        <v>-0.17791392760871988</v>
      </c>
    </row>
    <row r="13" spans="1:14">
      <c r="A13" s="6">
        <v>45658</v>
      </c>
      <c r="B13" s="7">
        <f>'Nifty 50 Historical Data'!B15</f>
        <v>23508.400000000001</v>
      </c>
      <c r="C13" s="22">
        <f t="shared" si="0"/>
        <v>-5.7854135224584859E-3</v>
      </c>
      <c r="D13" s="25">
        <f>'Monthly Vs Risk'!D13</f>
        <v>-0.1683988255848583</v>
      </c>
      <c r="E13" s="35">
        <f>Reference!$B$4%/12</f>
        <v>5.5191666666666661E-3</v>
      </c>
      <c r="F13" s="3">
        <f t="shared" si="1"/>
        <v>-2.5812970369412401E-2</v>
      </c>
    </row>
    <row r="14" spans="1:14">
      <c r="A14" s="6">
        <v>45303</v>
      </c>
      <c r="B14" s="7">
        <f>'Nifty 50 Historical Data'!B16</f>
        <v>23644.799999999999</v>
      </c>
      <c r="C14" s="22">
        <f t="shared" si="0"/>
        <v>-2.0358247392682546E-2</v>
      </c>
      <c r="D14" s="25">
        <f>'Monthly Vs Risk'!D14</f>
        <v>-6.5232223050083624E-2</v>
      </c>
      <c r="E14" s="35">
        <f>Reference!$B$4%/12</f>
        <v>5.5191666666666661E-3</v>
      </c>
      <c r="F14" s="3">
        <f t="shared" si="1"/>
        <v>-6.6203504134223545E-2</v>
      </c>
      <c r="G14" t="s">
        <v>275</v>
      </c>
    </row>
    <row r="15" spans="1:14">
      <c r="A15" s="6">
        <v>45302</v>
      </c>
      <c r="B15" s="7">
        <f>'Nifty 50 Historical Data'!B17</f>
        <v>24131.1</v>
      </c>
      <c r="C15" s="22">
        <f t="shared" si="0"/>
        <v>-3.0722181045922284E-3</v>
      </c>
      <c r="D15" s="25">
        <f>'Monthly Vs Risk'!D15</f>
        <v>0.12297436631903137</v>
      </c>
      <c r="E15" s="35">
        <f>Reference!$B$4%/12</f>
        <v>5.5191666666666661E-3</v>
      </c>
      <c r="F15" s="3">
        <f t="shared" si="1"/>
        <v>-1.8292990926033689E-2</v>
      </c>
    </row>
    <row r="16" spans="1:14">
      <c r="A16" s="6">
        <v>45301</v>
      </c>
      <c r="B16" s="7">
        <f>'Nifty 50 Historical Data'!B18</f>
        <v>24205.35</v>
      </c>
      <c r="C16" s="22">
        <f t="shared" si="0"/>
        <v>-6.4221263050494262E-2</v>
      </c>
      <c r="D16" s="25">
        <f>'Monthly Vs Risk'!D16</f>
        <v>-9.0635807041604399E-2</v>
      </c>
      <c r="E16" s="35">
        <f>Reference!$B$4%/12</f>
        <v>5.5191666666666661E-3</v>
      </c>
      <c r="F16" s="3">
        <f t="shared" si="1"/>
        <v>-0.18777564519686271</v>
      </c>
    </row>
    <row r="17" spans="1:21">
      <c r="A17" s="6">
        <v>45300</v>
      </c>
      <c r="B17" s="7">
        <f>'Nifty 50 Historical Data'!B19</f>
        <v>25810.85</v>
      </c>
      <c r="C17" s="22">
        <f t="shared" si="0"/>
        <v>2.2527362252369305E-2</v>
      </c>
      <c r="D17" s="25">
        <f>'Monthly Vs Risk'!D17</f>
        <v>-5.4254576154429607E-2</v>
      </c>
      <c r="E17" s="35">
        <f>Reference!$B$4%/12</f>
        <v>5.5191666666666661E-3</v>
      </c>
      <c r="F17" s="3">
        <f t="shared" si="1"/>
        <v>5.2659627074061147E-2</v>
      </c>
    </row>
    <row r="18" spans="1:21">
      <c r="A18" s="6">
        <v>45299</v>
      </c>
      <c r="B18" s="7">
        <f>'Nifty 50 Historical Data'!B20</f>
        <v>25235.9</v>
      </c>
      <c r="C18" s="22">
        <f t="shared" si="0"/>
        <v>1.1347670587906642E-2</v>
      </c>
      <c r="D18" s="25">
        <f>'Monthly Vs Risk'!D18</f>
        <v>-7.5590756018505345E-2</v>
      </c>
      <c r="E18" s="35">
        <f>Reference!$B$4%/12</f>
        <v>5.5191666666666661E-3</v>
      </c>
      <c r="F18" s="3">
        <f t="shared" si="1"/>
        <v>2.1673635078619947E-2</v>
      </c>
    </row>
    <row r="19" spans="1:21" ht="15" thickBot="1">
      <c r="A19" s="6">
        <v>45298</v>
      </c>
      <c r="B19" s="7">
        <f>'Nifty 50 Historical Data'!B21</f>
        <v>24951.15</v>
      </c>
      <c r="C19" s="22">
        <f t="shared" si="0"/>
        <v>3.8424513811085394E-2</v>
      </c>
      <c r="D19" s="25">
        <f>'Monthly Vs Risk'!D19</f>
        <v>-5.023583036629309E-4</v>
      </c>
      <c r="E19" s="35">
        <f>Reference!$B$4%/12</f>
        <v>5.5191666666666661E-3</v>
      </c>
      <c r="F19" s="3">
        <f t="shared" si="1"/>
        <v>9.6720682220555465E-2</v>
      </c>
    </row>
    <row r="20" spans="1:21">
      <c r="A20" s="6">
        <v>45297</v>
      </c>
      <c r="B20" s="7">
        <f>'Nifty 50 Historical Data'!B22</f>
        <v>24010.6</v>
      </c>
      <c r="C20" s="22">
        <f t="shared" si="0"/>
        <v>6.3616575862233918E-2</v>
      </c>
      <c r="D20" s="25">
        <f>'Monthly Vs Risk'!D20</f>
        <v>-0.14836227561944554</v>
      </c>
      <c r="E20" s="35">
        <f>Reference!$B$4%/12</f>
        <v>5.5191666666666661E-3</v>
      </c>
      <c r="F20" s="3">
        <f t="shared" si="1"/>
        <v>0.16654380941348815</v>
      </c>
      <c r="I20" s="30" t="s">
        <v>181</v>
      </c>
      <c r="J20" s="30"/>
    </row>
    <row r="21" spans="1:21">
      <c r="A21" s="6">
        <v>45296</v>
      </c>
      <c r="B21" s="7">
        <f>'Nifty 50 Historical Data'!B23</f>
        <v>22530.7</v>
      </c>
      <c r="C21" s="22">
        <f t="shared" si="0"/>
        <v>-3.2856613781206767E-3</v>
      </c>
      <c r="D21" s="25">
        <f>'Monthly Vs Risk'!D21</f>
        <v>0.11208631294710904</v>
      </c>
      <c r="E21" s="35">
        <f>Reference!$B$4%/12</f>
        <v>5.5191666666666661E-3</v>
      </c>
      <c r="F21" s="3">
        <f t="shared" si="1"/>
        <v>-1.88845771489397E-2</v>
      </c>
      <c r="I21" t="s">
        <v>182</v>
      </c>
      <c r="J21">
        <v>0.41321227477354511</v>
      </c>
    </row>
    <row r="22" spans="1:21">
      <c r="A22" s="6">
        <v>45295</v>
      </c>
      <c r="B22" s="7">
        <f>'Nifty 50 Historical Data'!B24</f>
        <v>22604.85</v>
      </c>
      <c r="C22" s="22">
        <f t="shared" si="0"/>
        <v>1.2372255500286942E-2</v>
      </c>
      <c r="D22" s="25">
        <f>'Monthly Vs Risk'!D22</f>
        <v>2.7483648372491178E-3</v>
      </c>
      <c r="E22" s="35">
        <f>Reference!$B$4%/12</f>
        <v>5.5191666666666661E-3</v>
      </c>
      <c r="F22" s="3">
        <f t="shared" si="1"/>
        <v>2.4513407484381706E-2</v>
      </c>
      <c r="I22" t="s">
        <v>183</v>
      </c>
      <c r="J22">
        <v>0.17074438402352773</v>
      </c>
    </row>
    <row r="23" spans="1:21">
      <c r="A23" s="6">
        <v>45294</v>
      </c>
      <c r="B23" s="7">
        <f>'Nifty 50 Historical Data'!B25</f>
        <v>22326.9</v>
      </c>
      <c r="C23" s="22">
        <f t="shared" si="0"/>
        <v>1.5531900126922026E-2</v>
      </c>
      <c r="D23" s="25">
        <f>'Monthly Vs Risk'!D23</f>
        <v>-0.10161382611812822</v>
      </c>
      <c r="E23" s="35">
        <f>Reference!$B$4%/12</f>
        <v>5.5191666666666661E-3</v>
      </c>
      <c r="F23" s="3">
        <f t="shared" si="1"/>
        <v>3.3270779874227413E-2</v>
      </c>
      <c r="I23" t="s">
        <v>184</v>
      </c>
      <c r="J23">
        <v>0.15619603988358963</v>
      </c>
    </row>
    <row r="24" spans="1:21">
      <c r="A24" s="6">
        <v>45293</v>
      </c>
      <c r="B24" s="7">
        <f>'Nifty 50 Historical Data'!B26</f>
        <v>21982.799999999999</v>
      </c>
      <c r="C24" s="22">
        <f t="shared" si="0"/>
        <v>1.176443782129105E-2</v>
      </c>
      <c r="D24" s="25">
        <f>'Monthly Vs Risk'!D24</f>
        <v>1.3052197070620695E-2</v>
      </c>
      <c r="E24" s="35">
        <f>Reference!$B$4%/12</f>
        <v>5.5191666666666661E-3</v>
      </c>
      <c r="F24" s="3">
        <f t="shared" si="1"/>
        <v>2.2828760510089717E-2</v>
      </c>
      <c r="I24" t="s">
        <v>185</v>
      </c>
      <c r="J24">
        <v>0.21858625896422759</v>
      </c>
    </row>
    <row r="25" spans="1:21" ht="15" thickBot="1">
      <c r="A25" s="6">
        <v>45292</v>
      </c>
      <c r="B25" s="7">
        <f>'Nifty 50 Historical Data'!B27</f>
        <v>21725.7</v>
      </c>
      <c r="C25" s="22">
        <f t="shared" si="0"/>
        <v>-2.6232767638379318E-4</v>
      </c>
      <c r="D25" s="25">
        <f>'Monthly Vs Risk'!D25</f>
        <v>2.4397550677698651E-2</v>
      </c>
      <c r="E25" s="35">
        <f>Reference!$B$4%/12</f>
        <v>5.5191666666666661E-3</v>
      </c>
      <c r="F25" s="3">
        <f t="shared" si="1"/>
        <v>-1.0505008490588039E-2</v>
      </c>
      <c r="I25" s="28" t="s">
        <v>186</v>
      </c>
      <c r="J25" s="28">
        <v>59</v>
      </c>
    </row>
    <row r="26" spans="1:21">
      <c r="A26" s="6">
        <v>44938</v>
      </c>
      <c r="B26" s="7">
        <f>'Nifty 50 Historical Data'!B28</f>
        <v>21731.4</v>
      </c>
      <c r="C26" s="22">
        <f t="shared" si="0"/>
        <v>7.6390508981434194E-2</v>
      </c>
      <c r="D26" s="25">
        <f>'Monthly Vs Risk'!D26</f>
        <v>0.33205868988895532</v>
      </c>
      <c r="E26" s="35">
        <f>Reference!$B$4%/12</f>
        <v>5.5191666666666661E-3</v>
      </c>
      <c r="F26" s="3">
        <f t="shared" si="1"/>
        <v>0.20194845215869262</v>
      </c>
    </row>
    <row r="27" spans="1:21" ht="15" thickBot="1">
      <c r="A27" s="6">
        <v>44937</v>
      </c>
      <c r="B27" s="7">
        <f>'Nifty 50 Historical Data'!B29</f>
        <v>20133.150000000001</v>
      </c>
      <c r="C27" s="22">
        <f t="shared" si="0"/>
        <v>5.3748008831137117E-2</v>
      </c>
      <c r="D27" s="25">
        <f>'Monthly Vs Risk'!D27</f>
        <v>0.22798737431577676</v>
      </c>
      <c r="E27" s="35">
        <f>Reference!$B$4%/12</f>
        <v>5.5191666666666661E-3</v>
      </c>
      <c r="F27" s="3">
        <f t="shared" si="1"/>
        <v>0.13919177250498746</v>
      </c>
      <c r="I27" t="s">
        <v>187</v>
      </c>
    </row>
    <row r="28" spans="1:21">
      <c r="A28" s="6">
        <v>44936</v>
      </c>
      <c r="B28" s="7">
        <f>'Nifty 50 Historical Data'!B30</f>
        <v>19079.599999999999</v>
      </c>
      <c r="C28" s="22">
        <f t="shared" si="0"/>
        <v>-2.8862039695351373E-2</v>
      </c>
      <c r="D28" s="25">
        <f>'Monthly Vs Risk'!D28</f>
        <v>-8.3186658163504318E-2</v>
      </c>
      <c r="E28" s="35">
        <f>Reference!$B$4%/12</f>
        <v>5.5191666666666661E-3</v>
      </c>
      <c r="F28" s="3">
        <f t="shared" si="1"/>
        <v>-8.9772887631532683E-2</v>
      </c>
      <c r="I28" s="29"/>
      <c r="J28" s="29" t="s">
        <v>192</v>
      </c>
      <c r="K28" s="29" t="s">
        <v>193</v>
      </c>
      <c r="L28" s="29" t="s">
        <v>194</v>
      </c>
      <c r="M28" s="29" t="s">
        <v>195</v>
      </c>
      <c r="N28" s="29" t="s">
        <v>196</v>
      </c>
    </row>
    <row r="29" spans="1:21">
      <c r="A29" s="6">
        <v>44935</v>
      </c>
      <c r="B29" s="7">
        <f>'Nifty 50 Historical Data'!B31</f>
        <v>19638.3</v>
      </c>
      <c r="C29" s="22">
        <f t="shared" si="0"/>
        <v>1.9773297285282689E-2</v>
      </c>
      <c r="D29" s="25">
        <f>'Monthly Vs Risk'!D29</f>
        <v>-3.6111365338103579E-2</v>
      </c>
      <c r="E29" s="35">
        <f>Reference!$B$4%/12</f>
        <v>5.5191666666666661E-3</v>
      </c>
      <c r="F29" s="3">
        <f t="shared" si="1"/>
        <v>4.5026372277210486E-2</v>
      </c>
      <c r="I29" t="s">
        <v>188</v>
      </c>
      <c r="J29">
        <v>1</v>
      </c>
      <c r="K29">
        <v>0.56076200138313315</v>
      </c>
      <c r="L29">
        <v>0.56076200138313315</v>
      </c>
      <c r="M29">
        <v>11.736344863797957</v>
      </c>
      <c r="N29">
        <v>1.1430593325702197E-3</v>
      </c>
      <c r="T29" s="36"/>
      <c r="U29" s="36"/>
    </row>
    <row r="30" spans="1:21">
      <c r="A30" s="6">
        <v>44934</v>
      </c>
      <c r="B30" s="7">
        <f>'Nifty 50 Historical Data'!B32</f>
        <v>19253.8</v>
      </c>
      <c r="C30" s="22">
        <f t="shared" si="0"/>
        <v>-2.5637434053074906E-2</v>
      </c>
      <c r="D30" s="25">
        <f>'Monthly Vs Risk'!D30</f>
        <v>-4.2946191675177138E-2</v>
      </c>
      <c r="E30" s="35">
        <f>Reference!$B$4%/12</f>
        <v>5.5191666666666661E-3</v>
      </c>
      <c r="F30" s="3">
        <f t="shared" si="1"/>
        <v>-8.0835467207171136E-2</v>
      </c>
      <c r="I30" t="s">
        <v>189</v>
      </c>
      <c r="J30">
        <v>57</v>
      </c>
      <c r="K30">
        <v>2.7234572986546528</v>
      </c>
      <c r="L30">
        <v>4.7779952607976364E-2</v>
      </c>
    </row>
    <row r="31" spans="1:21" ht="15" thickBot="1">
      <c r="A31" s="6">
        <v>44933</v>
      </c>
      <c r="B31" s="7">
        <f>'Nifty 50 Historical Data'!B33</f>
        <v>19753.8</v>
      </c>
      <c r="C31" s="22">
        <f t="shared" si="0"/>
        <v>2.9006074059238815E-2</v>
      </c>
      <c r="D31" s="25">
        <f>'Monthly Vs Risk'!D31</f>
        <v>1.3805878084799227E-2</v>
      </c>
      <c r="E31" s="35">
        <f>Reference!$B$4%/12</f>
        <v>5.5191666666666661E-3</v>
      </c>
      <c r="F31" s="3">
        <f t="shared" si="1"/>
        <v>7.0616232516638691E-2</v>
      </c>
      <c r="I31" s="28" t="s">
        <v>190</v>
      </c>
      <c r="J31" s="28">
        <v>58</v>
      </c>
      <c r="K31" s="28">
        <v>3.2842193000377859</v>
      </c>
      <c r="L31" s="28"/>
      <c r="M31" s="28"/>
      <c r="N31" s="28"/>
    </row>
    <row r="32" spans="1:21" ht="15" thickBot="1">
      <c r="A32" s="6">
        <v>44932</v>
      </c>
      <c r="B32" s="7">
        <f>'Nifty 50 Historical Data'!B34</f>
        <v>19189.05</v>
      </c>
      <c r="C32" s="22">
        <f t="shared" si="0"/>
        <v>3.4711338954606825E-2</v>
      </c>
      <c r="D32" s="25">
        <f>'Monthly Vs Risk'!D32</f>
        <v>-1.448366551143212E-2</v>
      </c>
      <c r="E32" s="35">
        <f>Reference!$B$4%/12</f>
        <v>5.5191666666666661E-3</v>
      </c>
      <c r="F32" s="3">
        <f t="shared" si="1"/>
        <v>8.6429127691708046E-2</v>
      </c>
    </row>
    <row r="33" spans="1:28">
      <c r="A33" s="6">
        <v>44931</v>
      </c>
      <c r="B33" s="7">
        <f>'Nifty 50 Historical Data'!B35</f>
        <v>18534.400000000001</v>
      </c>
      <c r="C33" s="22">
        <f t="shared" si="0"/>
        <v>2.565210028949258E-2</v>
      </c>
      <c r="D33" s="25">
        <f>'Monthly Vs Risk'!D33</f>
        <v>-0.35267689991523049</v>
      </c>
      <c r="E33" s="35">
        <f>Reference!$B$4%/12</f>
        <v>5.5191666666666661E-3</v>
      </c>
      <c r="F33" s="3">
        <f t="shared" si="1"/>
        <v>6.1320251240819509E-2</v>
      </c>
      <c r="I33" s="29"/>
      <c r="J33" s="29" t="s">
        <v>197</v>
      </c>
      <c r="K33" s="29" t="s">
        <v>185</v>
      </c>
      <c r="L33" s="29" t="s">
        <v>198</v>
      </c>
      <c r="M33" s="29" t="s">
        <v>199</v>
      </c>
      <c r="N33" s="29" t="s">
        <v>200</v>
      </c>
      <c r="O33" s="29" t="s">
        <v>201</v>
      </c>
      <c r="P33" s="29" t="s">
        <v>202</v>
      </c>
      <c r="Q33" s="29" t="s">
        <v>203</v>
      </c>
    </row>
    <row r="34" spans="1:28">
      <c r="A34" s="6">
        <v>44930</v>
      </c>
      <c r="B34" s="7">
        <f>'Nifty 50 Historical Data'!B36</f>
        <v>18065</v>
      </c>
      <c r="C34" s="22">
        <f t="shared" si="0"/>
        <v>3.9822056392752755E-2</v>
      </c>
      <c r="D34" s="25">
        <f>'Monthly Vs Risk'!D34</f>
        <v>8.5281272751847201E-2</v>
      </c>
      <c r="E34" s="35">
        <f>Reference!$B$4%/12</f>
        <v>5.5191666666666661E-3</v>
      </c>
      <c r="F34" s="3">
        <f t="shared" si="1"/>
        <v>0.10059415606478375</v>
      </c>
      <c r="I34" t="s">
        <v>191</v>
      </c>
      <c r="J34">
        <v>-2.3829339776981158E-2</v>
      </c>
      <c r="K34">
        <v>2.9822570317977286E-2</v>
      </c>
      <c r="L34">
        <v>-0.7990370891209414</v>
      </c>
      <c r="M34">
        <v>0.42758596519119929</v>
      </c>
      <c r="N34">
        <v>-8.3548006746007875E-2</v>
      </c>
      <c r="O34">
        <v>3.5889327192045566E-2</v>
      </c>
      <c r="P34">
        <v>-8.3548006746007875E-2</v>
      </c>
      <c r="Q34">
        <v>3.5889327192045566E-2</v>
      </c>
    </row>
    <row r="35" spans="1:28" ht="16.8" thickBot="1">
      <c r="A35" s="6">
        <v>44929</v>
      </c>
      <c r="B35" s="7">
        <f>'Nifty 50 Historical Data'!B37</f>
        <v>17359.75</v>
      </c>
      <c r="C35" s="22">
        <f t="shared" si="0"/>
        <v>3.2195090655844378E-3</v>
      </c>
      <c r="D35" s="25">
        <f>'Monthly Vs Risk'!D35</f>
        <v>0.24594548621451603</v>
      </c>
      <c r="E35" s="35">
        <f>Reference!$B$4%/12</f>
        <v>5.5191666666666661E-3</v>
      </c>
      <c r="F35" s="3">
        <f t="shared" si="1"/>
        <v>-8.5463809987242154E-4</v>
      </c>
      <c r="I35" s="31" t="s">
        <v>176</v>
      </c>
      <c r="J35" s="32">
        <v>2.7716320740703089</v>
      </c>
      <c r="K35" s="28">
        <v>0.80903842215424804</v>
      </c>
      <c r="L35" s="28">
        <v>3.4258349148489273</v>
      </c>
      <c r="M35" s="28">
        <v>1.1430593325702251E-3</v>
      </c>
      <c r="N35" s="28">
        <v>1.1515605784671314</v>
      </c>
      <c r="O35" s="28">
        <v>4.3917035696734867</v>
      </c>
      <c r="P35" s="28">
        <v>1.1515605784671314</v>
      </c>
      <c r="Q35" s="28">
        <v>4.3917035696734867</v>
      </c>
    </row>
    <row r="36" spans="1:28">
      <c r="A36" s="6">
        <v>44928</v>
      </c>
      <c r="B36" s="7">
        <f>'Nifty 50 Historical Data'!B38</f>
        <v>17303.95</v>
      </c>
      <c r="C36" s="22">
        <f t="shared" si="0"/>
        <v>-2.0489132678701803E-2</v>
      </c>
      <c r="D36" s="25">
        <f>'Monthly Vs Risk'!D36</f>
        <v>-1.133631613293709</v>
      </c>
      <c r="E36" s="35">
        <f>Reference!$B$4%/12</f>
        <v>5.5191666666666661E-3</v>
      </c>
      <c r="F36" s="3">
        <f t="shared" si="1"/>
        <v>-6.6566269990978394E-2</v>
      </c>
    </row>
    <row r="37" spans="1:28">
      <c r="A37" s="6">
        <v>44927</v>
      </c>
      <c r="B37" s="7">
        <f>'Nifty 50 Historical Data'!B39</f>
        <v>17662.150000000001</v>
      </c>
      <c r="C37" s="22">
        <f t="shared" si="0"/>
        <v>-2.4780781268640174E-2</v>
      </c>
      <c r="D37" s="25">
        <f>'Monthly Vs Risk'!D37</f>
        <v>-0.56056401482232565</v>
      </c>
      <c r="E37" s="35">
        <f>Reference!$B$4%/12</f>
        <v>5.5191666666666661E-3</v>
      </c>
      <c r="F37" s="3">
        <f t="shared" si="1"/>
        <v>-7.8461140873490196E-2</v>
      </c>
      <c r="T37" s="37"/>
      <c r="U37" s="37"/>
      <c r="V37" s="37"/>
      <c r="W37" s="37"/>
      <c r="X37" s="37"/>
      <c r="Y37" s="37"/>
    </row>
    <row r="38" spans="1:28">
      <c r="A38" s="6">
        <v>44573</v>
      </c>
      <c r="B38" s="7">
        <f>'Nifty 50 Historical Data'!B40</f>
        <v>18105.3</v>
      </c>
      <c r="C38" s="22">
        <f t="shared" si="0"/>
        <v>-3.5434273529685763E-2</v>
      </c>
      <c r="D38" s="25">
        <f>'Monthly Vs Risk'!D38</f>
        <v>1.6408580442609143E-2</v>
      </c>
      <c r="E38" s="35">
        <f>Reference!$B$4%/12</f>
        <v>5.5191666666666661E-3</v>
      </c>
      <c r="F38" s="3">
        <f t="shared" si="1"/>
        <v>-0.10798870172506396</v>
      </c>
    </row>
    <row r="39" spans="1:28">
      <c r="A39" s="6">
        <v>44572</v>
      </c>
      <c r="B39" s="7">
        <f>'Nifty 50 Historical Data'!B41</f>
        <v>18758.349999999999</v>
      </c>
      <c r="C39" s="22">
        <f t="shared" si="0"/>
        <v>4.0589680531975814E-2</v>
      </c>
      <c r="D39" s="25">
        <f>'Monthly Vs Risk'!D39</f>
        <v>8.2647382927021305E-3</v>
      </c>
      <c r="E39" s="35">
        <f>Reference!$B$4%/12</f>
        <v>5.5191666666666661E-3</v>
      </c>
      <c r="F39" s="3">
        <f t="shared" si="1"/>
        <v>0.10272172774988499</v>
      </c>
      <c r="I39" t="s">
        <v>204</v>
      </c>
    </row>
    <row r="40" spans="1:28" ht="15" thickBot="1">
      <c r="A40" s="6">
        <v>44571</v>
      </c>
      <c r="B40" s="7">
        <f>'Nifty 50 Historical Data'!B42</f>
        <v>18012.2</v>
      </c>
      <c r="C40" s="22">
        <f t="shared" si="0"/>
        <v>5.2301306531627435E-2</v>
      </c>
      <c r="D40" s="25">
        <f>'Monthly Vs Risk'!D40</f>
        <v>7.5799303125490006E-2</v>
      </c>
      <c r="E40" s="35">
        <f>Reference!$B$4%/12</f>
        <v>5.5191666666666661E-3</v>
      </c>
      <c r="F40" s="3">
        <f t="shared" si="1"/>
        <v>0.13518204601003517</v>
      </c>
    </row>
    <row r="41" spans="1:28">
      <c r="A41" s="6">
        <v>44570</v>
      </c>
      <c r="B41" s="7">
        <f>'Nifty 50 Historical Data'!B43</f>
        <v>17094.349999999999</v>
      </c>
      <c r="C41" s="22">
        <f t="shared" si="0"/>
        <v>-3.8161322818150267E-2</v>
      </c>
      <c r="D41" s="25">
        <f>'Monthly Vs Risk'!D41</f>
        <v>-0.11448236994473315</v>
      </c>
      <c r="E41" s="35">
        <f>Reference!$B$4%/12</f>
        <v>5.5191666666666661E-3</v>
      </c>
      <c r="F41" s="3">
        <f t="shared" si="1"/>
        <v>-0.1155470790005428</v>
      </c>
      <c r="I41" s="29" t="s">
        <v>205</v>
      </c>
      <c r="J41" s="29" t="s">
        <v>206</v>
      </c>
      <c r="K41" s="29" t="s">
        <v>207</v>
      </c>
    </row>
    <row r="42" spans="1:28">
      <c r="A42" s="6">
        <v>44569</v>
      </c>
      <c r="B42" s="7">
        <f>'Nifty 50 Historical Data'!B44</f>
        <v>17759.3</v>
      </c>
      <c r="C42" s="22">
        <f t="shared" si="0"/>
        <v>3.4430214865457824E-2</v>
      </c>
      <c r="D42" s="25">
        <f>'Monthly Vs Risk'!D42</f>
        <v>0.18027023024860125</v>
      </c>
      <c r="E42" s="35">
        <f>Reference!$B$4%/12</f>
        <v>5.5191666666666661E-3</v>
      </c>
      <c r="F42" s="3">
        <f t="shared" si="1"/>
        <v>8.5649955149428886E-2</v>
      </c>
      <c r="I42">
        <v>1</v>
      </c>
      <c r="J42">
        <v>-3.1598857821168683E-2</v>
      </c>
      <c r="K42">
        <v>-3.652309750113962E-2</v>
      </c>
      <c r="T42" s="37"/>
      <c r="U42" s="37"/>
      <c r="V42" s="37"/>
      <c r="W42" s="37"/>
      <c r="X42" s="37"/>
      <c r="Y42" s="37"/>
      <c r="Z42" s="37"/>
      <c r="AA42" s="37"/>
      <c r="AB42" s="37"/>
    </row>
    <row r="43" spans="1:28">
      <c r="A43" s="6">
        <v>44568</v>
      </c>
      <c r="B43" s="7">
        <f>'Nifty 50 Historical Data'!B45</f>
        <v>17158.25</v>
      </c>
      <c r="C43" s="22">
        <f t="shared" si="0"/>
        <v>8.3719949376114669E-2</v>
      </c>
      <c r="D43" s="25">
        <f>'Monthly Vs Risk'!D43</f>
        <v>0.26763201599347469</v>
      </c>
      <c r="E43" s="35">
        <f>Reference!$B$4%/12</f>
        <v>5.5191666666666661E-3</v>
      </c>
      <c r="F43" s="3">
        <f t="shared" si="1"/>
        <v>0.22226296424157554</v>
      </c>
      <c r="I43">
        <v>2</v>
      </c>
      <c r="J43">
        <v>2.7505319762133398E-2</v>
      </c>
      <c r="K43">
        <v>-6.7809583645738428E-2</v>
      </c>
    </row>
    <row r="44" spans="1:28">
      <c r="A44" s="6">
        <v>44567</v>
      </c>
      <c r="B44" s="7">
        <f>'Nifty 50 Historical Data'!B46</f>
        <v>15780.25</v>
      </c>
      <c r="C44" s="22">
        <f t="shared" si="0"/>
        <v>-4.9712380948179848E-2</v>
      </c>
      <c r="D44" s="25">
        <f>'Monthly Vs Risk'!D44</f>
        <v>-2.0873348148128705E-3</v>
      </c>
      <c r="E44" s="35">
        <f>Reference!$B$4%/12</f>
        <v>5.5191666666666661E-3</v>
      </c>
      <c r="F44" s="3">
        <f t="shared" si="1"/>
        <v>-0.14756236220318339</v>
      </c>
      <c r="I44">
        <v>3</v>
      </c>
      <c r="J44">
        <v>9.8546486503279379E-2</v>
      </c>
      <c r="K44">
        <v>-8.8521738695044441E-2</v>
      </c>
    </row>
    <row r="45" spans="1:28">
      <c r="A45" s="6">
        <v>44566</v>
      </c>
      <c r="B45" s="7">
        <f>'Nifty 50 Historical Data'!B47</f>
        <v>16584.55</v>
      </c>
      <c r="C45" s="22">
        <f t="shared" si="0"/>
        <v>-3.0756036118482731E-2</v>
      </c>
      <c r="D45" s="25">
        <f>'Monthly Vs Risk'!D45</f>
        <v>-2.1882350183148647E-2</v>
      </c>
      <c r="E45" s="35">
        <f>Reference!$B$4%/12</f>
        <v>5.5191666666666661E-3</v>
      </c>
      <c r="F45" s="3">
        <f t="shared" si="1"/>
        <v>-9.5022348866057996E-2</v>
      </c>
      <c r="I45">
        <v>4</v>
      </c>
      <c r="J45">
        <v>-3.0015681115753978E-3</v>
      </c>
      <c r="K45">
        <v>5.9247894854503803E-2</v>
      </c>
    </row>
    <row r="46" spans="1:28">
      <c r="A46" s="6">
        <v>44565</v>
      </c>
      <c r="B46" s="7">
        <f>'Nifty 50 Historical Data'!B48</f>
        <v>17102.55</v>
      </c>
      <c r="C46" s="22">
        <f t="shared" si="0"/>
        <v>-2.0956988615441312E-2</v>
      </c>
      <c r="D46" s="25">
        <f>'Monthly Vs Risk'!D46</f>
        <v>0.13110088994426847</v>
      </c>
      <c r="E46" s="35">
        <f>Reference!$B$4%/12</f>
        <v>5.5191666666666661E-3</v>
      </c>
      <c r="F46" s="3">
        <f t="shared" si="1"/>
        <v>-6.7862994511289826E-2</v>
      </c>
      <c r="I46">
        <v>5</v>
      </c>
      <c r="J46">
        <v>-6.2309823935755584E-2</v>
      </c>
      <c r="K46">
        <v>4.0555284621383872E-2</v>
      </c>
    </row>
    <row r="47" spans="1:28">
      <c r="A47" s="6">
        <v>44564</v>
      </c>
      <c r="B47" s="7">
        <f>'Nifty 50 Historical Data'!B49</f>
        <v>17464.75</v>
      </c>
      <c r="C47" s="22">
        <f t="shared" si="0"/>
        <v>3.9168838577291303E-2</v>
      </c>
      <c r="D47" s="25">
        <f>'Monthly Vs Risk'!D47</f>
        <v>0.30258463982939238</v>
      </c>
      <c r="E47" s="35">
        <f>Reference!$B$4%/12</f>
        <v>5.5191666666666661E-3</v>
      </c>
      <c r="F47" s="3">
        <f t="shared" si="1"/>
        <v>9.8783676616096647E-2</v>
      </c>
      <c r="I47">
        <v>6</v>
      </c>
      <c r="J47">
        <v>-0.10636917415204514</v>
      </c>
      <c r="K47">
        <v>-5.7142638598162154E-3</v>
      </c>
    </row>
    <row r="48" spans="1:28">
      <c r="A48" s="6">
        <v>44563</v>
      </c>
      <c r="B48" s="7">
        <f>'Nifty 50 Historical Data'!B50</f>
        <v>16793.900000000001</v>
      </c>
      <c r="C48" s="22">
        <f t="shared" si="0"/>
        <v>-3.1991595559867449E-2</v>
      </c>
      <c r="D48" s="25">
        <f>'Monthly Vs Risk'!D48</f>
        <v>-0.13673290379984371</v>
      </c>
      <c r="E48" s="35">
        <f>Reference!$B$4%/12</f>
        <v>5.5191666666666661E-3</v>
      </c>
      <c r="F48" s="3">
        <f t="shared" si="1"/>
        <v>-9.8446865043220269E-2</v>
      </c>
      <c r="I48">
        <v>7</v>
      </c>
      <c r="J48">
        <v>6.0686271927370368E-2</v>
      </c>
      <c r="K48">
        <v>-7.2455440507004309E-2</v>
      </c>
    </row>
    <row r="49" spans="1:22">
      <c r="A49" s="6">
        <v>44562</v>
      </c>
      <c r="B49" s="7">
        <f>'Nifty 50 Historical Data'!B51</f>
        <v>17339.849999999999</v>
      </c>
      <c r="C49" s="22">
        <f t="shared" si="0"/>
        <v>-8.185877513300963E-4</v>
      </c>
      <c r="D49" s="25">
        <f>'Monthly Vs Risk'!D49</f>
        <v>5.6152823285560267E-2</v>
      </c>
      <c r="E49" s="35">
        <f>Reference!$B$4%/12</f>
        <v>5.5191666666666661E-3</v>
      </c>
      <c r="F49" s="3">
        <f t="shared" si="1"/>
        <v>-1.2046756755833964E-2</v>
      </c>
      <c r="I49">
        <v>8</v>
      </c>
      <c r="J49">
        <v>2.32080369066626E-2</v>
      </c>
      <c r="K49">
        <v>0.10712138382326145</v>
      </c>
    </row>
    <row r="50" spans="1:22">
      <c r="A50" s="6">
        <v>44208</v>
      </c>
      <c r="B50" s="7">
        <f>'Nifty 50 Historical Data'!B52</f>
        <v>17354.05</v>
      </c>
      <c r="C50" s="22">
        <f t="shared" si="0"/>
        <v>2.1601288411623641E-2</v>
      </c>
      <c r="D50" s="25">
        <f>'Monthly Vs Risk'!D50</f>
        <v>7.3460380390787561E-2</v>
      </c>
      <c r="E50" s="35">
        <f>Reference!$B$4%/12</f>
        <v>5.5191666666666661E-3</v>
      </c>
      <c r="F50" s="3">
        <f t="shared" si="1"/>
        <v>5.0092891114092986E-2</v>
      </c>
      <c r="I50">
        <v>9</v>
      </c>
      <c r="J50">
        <v>7.0570457775555068E-2</v>
      </c>
      <c r="K50">
        <v>-7.4561151465489139E-2</v>
      </c>
      <c r="T50" s="37"/>
      <c r="U50" s="37"/>
      <c r="V50" s="37"/>
    </row>
    <row r="51" spans="1:22">
      <c r="A51" s="6">
        <v>44207</v>
      </c>
      <c r="B51" s="7">
        <f>'Nifty 50 Historical Data'!B53</f>
        <v>16983.2</v>
      </c>
      <c r="C51" s="22">
        <f t="shared" si="0"/>
        <v>-3.9737040444249035E-2</v>
      </c>
      <c r="D51" s="25">
        <f>'Monthly Vs Risk'!D51</f>
        <v>0.10564877866682235</v>
      </c>
      <c r="E51" s="35">
        <f>Reference!$B$4%/12</f>
        <v>5.5191666666666661E-3</v>
      </c>
      <c r="F51" s="3">
        <f t="shared" si="1"/>
        <v>-0.11991438851271606</v>
      </c>
      <c r="I51">
        <v>10</v>
      </c>
      <c r="J51">
        <v>0.14559735570842952</v>
      </c>
      <c r="K51">
        <v>-6.7178232505291605E-2</v>
      </c>
    </row>
    <row r="52" spans="1:22">
      <c r="A52" s="6">
        <v>44206</v>
      </c>
      <c r="B52" s="7">
        <f>'Nifty 50 Historical Data'!B54</f>
        <v>17671.650000000001</v>
      </c>
      <c r="C52" s="22">
        <f t="shared" si="0"/>
        <v>3.0320399087917201E-3</v>
      </c>
      <c r="D52" s="25">
        <f>'Monthly Vs Risk'!D52</f>
        <v>1.1388371528449022E-2</v>
      </c>
      <c r="E52" s="35">
        <f>Reference!$B$4%/12</f>
        <v>5.5191666666666661E-3</v>
      </c>
      <c r="F52" s="3">
        <f t="shared" si="1"/>
        <v>-1.3742336277380333E-3</v>
      </c>
      <c r="I52">
        <v>11</v>
      </c>
      <c r="J52">
        <v>-0.19196533469689461</v>
      </c>
      <c r="K52">
        <v>4.8499605049140054E-2</v>
      </c>
    </row>
    <row r="53" spans="1:22">
      <c r="A53" s="6">
        <v>44205</v>
      </c>
      <c r="B53" s="7">
        <f>'Nifty 50 Historical Data'!B55</f>
        <v>17618.150000000001</v>
      </c>
      <c r="C53" s="22">
        <f t="shared" si="0"/>
        <v>2.7969886925890988E-2</v>
      </c>
      <c r="D53" s="25">
        <f>'Monthly Vs Risk'!D53</f>
        <v>-2.0413485088270945E-2</v>
      </c>
      <c r="E53" s="35">
        <f>Reference!$B$4%/12</f>
        <v>5.5191666666666661E-3</v>
      </c>
      <c r="F53" s="3">
        <f t="shared" si="1"/>
        <v>6.7744303023112878E-2</v>
      </c>
      <c r="I53">
        <v>12</v>
      </c>
      <c r="J53">
        <v>-3.9864377457587183E-2</v>
      </c>
      <c r="K53">
        <v>-0.12853444812727111</v>
      </c>
    </row>
    <row r="54" spans="1:22">
      <c r="A54" s="6">
        <v>44204</v>
      </c>
      <c r="B54" s="7">
        <f>'Nifty 50 Historical Data'!B56</f>
        <v>17132.2</v>
      </c>
      <c r="C54" s="22">
        <f t="shared" si="0"/>
        <v>8.3291140120818716E-2</v>
      </c>
      <c r="D54" s="25">
        <f>'Monthly Vs Risk'!D54</f>
        <v>0.48695895423250518</v>
      </c>
      <c r="E54" s="35">
        <f>Reference!$B$4%/12</f>
        <v>5.5191666666666661E-3</v>
      </c>
      <c r="F54" s="3">
        <f t="shared" si="1"/>
        <v>0.22107446275593909</v>
      </c>
      <c r="I54">
        <v>13</v>
      </c>
      <c r="J54">
        <v>-8.0254911222398334E-2</v>
      </c>
      <c r="K54">
        <v>1.502268817231471E-2</v>
      </c>
    </row>
    <row r="55" spans="1:22">
      <c r="A55" s="6">
        <v>44203</v>
      </c>
      <c r="B55" s="7">
        <f>'Nifty 50 Historical Data'!B57</f>
        <v>15763.05</v>
      </c>
      <c r="C55" s="22">
        <f t="shared" si="0"/>
        <v>2.6393913281980434E-3</v>
      </c>
      <c r="D55" s="25">
        <f>'Monthly Vs Risk'!D55</f>
        <v>-0.13332830214701727</v>
      </c>
      <c r="E55" s="35">
        <f>Reference!$B$4%/12</f>
        <v>5.5191666666666661E-3</v>
      </c>
      <c r="F55" s="3">
        <f t="shared" si="1"/>
        <v>-2.462511027549648E-3</v>
      </c>
      <c r="I55">
        <v>14</v>
      </c>
      <c r="J55">
        <v>-3.2344398014208471E-2</v>
      </c>
      <c r="K55">
        <v>0.15531876433323985</v>
      </c>
    </row>
    <row r="56" spans="1:22">
      <c r="A56" s="6">
        <v>44202</v>
      </c>
      <c r="B56" s="7">
        <f>'Nifty 50 Historical Data'!B58</f>
        <v>15721.5</v>
      </c>
      <c r="C56" s="22">
        <f t="shared" si="0"/>
        <v>8.8614604142238061E-3</v>
      </c>
      <c r="D56" s="25">
        <f>'Monthly Vs Risk'!D56</f>
        <v>-0.27959681990807522</v>
      </c>
      <c r="E56" s="35">
        <f>Reference!$B$4%/12</f>
        <v>5.5191666666666661E-3</v>
      </c>
      <c r="F56" s="3">
        <f t="shared" si="1"/>
        <v>1.4782775218360689E-2</v>
      </c>
      <c r="I56">
        <v>15</v>
      </c>
      <c r="J56">
        <v>-0.20182705228503744</v>
      </c>
      <c r="K56">
        <v>0.11119124524343305</v>
      </c>
    </row>
    <row r="57" spans="1:22">
      <c r="A57" s="6">
        <v>44201</v>
      </c>
      <c r="B57" s="7">
        <f>'Nifty 50 Historical Data'!B59</f>
        <v>15582.8</v>
      </c>
      <c r="C57" s="22">
        <f t="shared" si="0"/>
        <v>6.3018341706496755E-2</v>
      </c>
      <c r="D57" s="25">
        <f>'Monthly Vs Risk'!D57</f>
        <v>0.15883847385130262</v>
      </c>
      <c r="E57" s="35">
        <f>Reference!$B$4%/12</f>
        <v>5.5191666666666661E-3</v>
      </c>
      <c r="F57" s="3">
        <f t="shared" si="1"/>
        <v>0.16488572443964267</v>
      </c>
      <c r="I57">
        <v>16</v>
      </c>
      <c r="J57">
        <v>3.8608219985886365E-2</v>
      </c>
      <c r="K57">
        <v>-9.2862796140315979E-2</v>
      </c>
    </row>
    <row r="58" spans="1:22">
      <c r="A58" s="6">
        <v>44200</v>
      </c>
      <c r="B58" s="7">
        <f>'Nifty 50 Historical Data'!B60</f>
        <v>14631.1</v>
      </c>
      <c r="C58" s="22">
        <f t="shared" si="0"/>
        <v>-4.0652403385876409E-3</v>
      </c>
      <c r="D58" s="25">
        <f>'Monthly Vs Risk'!D58</f>
        <v>0.1799346618774971</v>
      </c>
      <c r="E58" s="35">
        <f>Reference!$B$4%/12</f>
        <v>5.5191666666666661E-3</v>
      </c>
      <c r="F58" s="3">
        <f t="shared" si="1"/>
        <v>-2.1045283200040326E-2</v>
      </c>
      <c r="I58">
        <v>17</v>
      </c>
      <c r="J58">
        <v>7.6222279904451726E-3</v>
      </c>
      <c r="K58">
        <v>-8.3212984008950525E-2</v>
      </c>
    </row>
    <row r="59" spans="1:22">
      <c r="A59" s="6">
        <v>44199</v>
      </c>
      <c r="B59" s="7">
        <f>'Nifty 50 Historical Data'!B61</f>
        <v>14690.7</v>
      </c>
      <c r="C59" s="22">
        <f t="shared" si="0"/>
        <v>1.1057664298936155E-2</v>
      </c>
      <c r="D59" s="25">
        <f>'Monthly Vs Risk'!D59</f>
        <v>0.6295193470544288</v>
      </c>
      <c r="E59" s="35">
        <f>Reference!$B$4%/12</f>
        <v>5.5191666666666661E-3</v>
      </c>
      <c r="F59" s="3">
        <f t="shared" si="1"/>
        <v>2.0869844346427247E-2</v>
      </c>
      <c r="I59">
        <v>18</v>
      </c>
      <c r="J59">
        <v>8.2669275132380676E-2</v>
      </c>
      <c r="K59">
        <v>-8.3171633436043613E-2</v>
      </c>
    </row>
    <row r="60" spans="1:22">
      <c r="A60" s="6">
        <v>44198</v>
      </c>
      <c r="B60" s="7">
        <f>'Nifty 50 Historical Data'!B62</f>
        <v>14529.15</v>
      </c>
      <c r="C60" s="22">
        <f t="shared" si="0"/>
        <v>6.3546296614860345E-2</v>
      </c>
      <c r="D60" s="25">
        <f>'Monthly Vs Risk'!D60</f>
        <v>0.29578457365329847</v>
      </c>
      <c r="E60" s="35">
        <f>Reference!$B$4%/12</f>
        <v>5.5191666666666661E-3</v>
      </c>
      <c r="F60" s="3">
        <f t="shared" si="1"/>
        <v>0.16634902119732603</v>
      </c>
      <c r="I60">
        <v>19</v>
      </c>
      <c r="J60">
        <v>0.15249240232531339</v>
      </c>
      <c r="K60">
        <v>-0.30085467794475895</v>
      </c>
    </row>
    <row r="61" spans="1:22">
      <c r="A61" s="6">
        <v>44197</v>
      </c>
      <c r="B61" s="7">
        <f>'Nifty 50 Historical Data'!B63</f>
        <v>13634.6</v>
      </c>
      <c r="C61" s="22"/>
      <c r="D61" s="25"/>
      <c r="E61" s="27"/>
      <c r="I61">
        <v>20</v>
      </c>
      <c r="J61">
        <v>-3.2935984237114482E-2</v>
      </c>
      <c r="K61">
        <v>0.14502229718422352</v>
      </c>
    </row>
    <row r="62" spans="1:22">
      <c r="I62">
        <v>21</v>
      </c>
      <c r="J62">
        <v>1.0462000396206927E-2</v>
      </c>
      <c r="K62">
        <v>-7.7136355589578097E-3</v>
      </c>
    </row>
    <row r="63" spans="1:22" ht="19.8">
      <c r="C63" s="33">
        <f>AVERAGE(C2:C60)</f>
        <v>1.102471341932316E-2</v>
      </c>
      <c r="F63" s="33">
        <f>AVERAGE(F2:F60)</f>
        <v>2.0778516631623035E-2</v>
      </c>
      <c r="G63" s="20" t="s">
        <v>208</v>
      </c>
      <c r="I63">
        <v>22</v>
      </c>
      <c r="J63">
        <v>1.9219372786052631E-2</v>
      </c>
      <c r="K63">
        <v>-0.12083319890418084</v>
      </c>
    </row>
    <row r="64" spans="1:22" ht="21">
      <c r="C64" s="114" t="s">
        <v>210</v>
      </c>
      <c r="D64" s="115"/>
      <c r="E64" s="116"/>
      <c r="I64">
        <v>23</v>
      </c>
      <c r="J64">
        <v>8.7773534219149421E-3</v>
      </c>
      <c r="K64">
        <v>4.2748436487057527E-3</v>
      </c>
    </row>
    <row r="65" spans="3:11" ht="21.6">
      <c r="C65" s="42" t="s">
        <v>212</v>
      </c>
      <c r="D65" s="43"/>
      <c r="E65" s="44">
        <f>AVERAGE(C2:C60)</f>
        <v>1.102471341932316E-2</v>
      </c>
      <c r="I65">
        <v>24</v>
      </c>
      <c r="J65">
        <v>-2.4556415578762817E-2</v>
      </c>
      <c r="K65">
        <v>4.8953966256461465E-2</v>
      </c>
    </row>
    <row r="66" spans="3:11" ht="21.6">
      <c r="C66" s="42" t="s">
        <v>213</v>
      </c>
      <c r="D66" s="43"/>
      <c r="E66" s="44">
        <f>E65*12</f>
        <v>0.13229656103187792</v>
      </c>
      <c r="I66">
        <v>25</v>
      </c>
      <c r="J66">
        <v>0.18789704507051785</v>
      </c>
      <c r="K66">
        <v>0.14416164481843746</v>
      </c>
    </row>
    <row r="67" spans="3:11" ht="21.6">
      <c r="C67" s="42" t="s">
        <v>214</v>
      </c>
      <c r="D67" s="43"/>
      <c r="E67" s="44">
        <f>AVERAGE(E2:E60)</f>
        <v>5.5191666666666687E-3</v>
      </c>
      <c r="I67">
        <v>26</v>
      </c>
      <c r="J67">
        <v>0.1251403654168127</v>
      </c>
      <c r="K67">
        <v>0.10284700889896406</v>
      </c>
    </row>
    <row r="68" spans="3:11" ht="21.6">
      <c r="C68" s="86" t="s">
        <v>215</v>
      </c>
      <c r="D68" s="75"/>
      <c r="E68" s="76">
        <f>E67*12</f>
        <v>6.6230000000000025E-2</v>
      </c>
      <c r="I68">
        <v>27</v>
      </c>
      <c r="J68">
        <v>-0.10382429471970747</v>
      </c>
      <c r="K68">
        <v>2.0637636556203154E-2</v>
      </c>
    </row>
    <row r="69" spans="3:11" ht="21.6">
      <c r="C69" s="42" t="s">
        <v>176</v>
      </c>
      <c r="D69" s="43"/>
      <c r="E69" s="79">
        <f>J35</f>
        <v>2.7716320740703089</v>
      </c>
      <c r="I69">
        <v>28</v>
      </c>
      <c r="J69">
        <v>3.0974965189035711E-2</v>
      </c>
      <c r="K69">
        <v>-6.708633052713929E-2</v>
      </c>
    </row>
    <row r="70" spans="3:11" ht="21.6">
      <c r="C70" s="87" t="s">
        <v>216</v>
      </c>
      <c r="D70" s="77"/>
      <c r="E70" s="78">
        <f>E68+E69*(E66-E68)</f>
        <v>0.2493421995794764</v>
      </c>
      <c r="F70" t="s">
        <v>217</v>
      </c>
      <c r="I70">
        <v>29</v>
      </c>
      <c r="J70">
        <v>-9.4886874295345924E-2</v>
      </c>
      <c r="K70">
        <v>5.1940682620168786E-2</v>
      </c>
    </row>
    <row r="71" spans="3:11" ht="21.6">
      <c r="C71" s="40"/>
      <c r="I71">
        <v>30</v>
      </c>
      <c r="J71">
        <v>5.6564825428463895E-2</v>
      </c>
      <c r="K71">
        <v>-4.2758947343664672E-2</v>
      </c>
    </row>
    <row r="72" spans="3:11">
      <c r="I72">
        <v>31</v>
      </c>
      <c r="J72">
        <v>7.2377720603533258E-2</v>
      </c>
      <c r="K72">
        <v>-8.6861386114965383E-2</v>
      </c>
    </row>
    <row r="73" spans="3:11">
      <c r="I73">
        <v>32</v>
      </c>
      <c r="J73">
        <v>4.7268844152644728E-2</v>
      </c>
      <c r="K73">
        <v>-0.3999457440678752</v>
      </c>
    </row>
    <row r="74" spans="3:11">
      <c r="I74">
        <v>33</v>
      </c>
      <c r="J74">
        <v>8.6542748976608963E-2</v>
      </c>
      <c r="K74">
        <v>-1.2614762247617622E-3</v>
      </c>
    </row>
    <row r="75" spans="3:11">
      <c r="I75">
        <v>34</v>
      </c>
      <c r="J75">
        <v>-1.4906045188047201E-2</v>
      </c>
      <c r="K75">
        <v>0.26085153140256323</v>
      </c>
    </row>
    <row r="76" spans="3:11">
      <c r="I76">
        <v>35</v>
      </c>
      <c r="J76">
        <v>-8.0617677079153183E-2</v>
      </c>
      <c r="K76">
        <v>-1.0530139362145559</v>
      </c>
    </row>
    <row r="77" spans="3:11">
      <c r="I77">
        <v>36</v>
      </c>
      <c r="J77">
        <v>-9.251254796166497E-2</v>
      </c>
      <c r="K77">
        <v>-0.46805146686066068</v>
      </c>
    </row>
    <row r="78" spans="3:11">
      <c r="I78">
        <v>37</v>
      </c>
      <c r="J78">
        <v>-0.12204010881323876</v>
      </c>
      <c r="K78">
        <v>0.13844868925584791</v>
      </c>
    </row>
    <row r="79" spans="3:11">
      <c r="I79">
        <v>38</v>
      </c>
      <c r="J79">
        <v>8.8670320661710211E-2</v>
      </c>
      <c r="K79">
        <v>-8.0405582369008077E-2</v>
      </c>
    </row>
    <row r="80" spans="3:11">
      <c r="I80">
        <v>39</v>
      </c>
      <c r="J80">
        <v>0.12113063892186038</v>
      </c>
      <c r="K80">
        <v>-4.5331335796370373E-2</v>
      </c>
    </row>
    <row r="81" spans="9:11">
      <c r="I81">
        <v>40</v>
      </c>
      <c r="J81">
        <v>-0.12959848608871757</v>
      </c>
      <c r="K81">
        <v>1.511611614398442E-2</v>
      </c>
    </row>
    <row r="82" spans="9:11">
      <c r="I82">
        <v>41</v>
      </c>
      <c r="J82">
        <v>7.1598548061254097E-2</v>
      </c>
      <c r="K82">
        <v>0.10867168218734716</v>
      </c>
    </row>
    <row r="83" spans="9:11">
      <c r="I83">
        <v>42</v>
      </c>
      <c r="J83">
        <v>0.20821155715340081</v>
      </c>
      <c r="K83">
        <v>5.9420458840073881E-2</v>
      </c>
    </row>
    <row r="84" spans="9:11">
      <c r="I84">
        <v>43</v>
      </c>
      <c r="J84">
        <v>-0.16161376929135818</v>
      </c>
      <c r="K84">
        <v>0.1595264344765453</v>
      </c>
    </row>
    <row r="85" spans="9:11">
      <c r="I85">
        <v>44</v>
      </c>
      <c r="J85">
        <v>-0.10907375595423277</v>
      </c>
      <c r="K85">
        <v>8.7191405771084127E-2</v>
      </c>
    </row>
    <row r="86" spans="9:11">
      <c r="I86">
        <v>45</v>
      </c>
      <c r="J86">
        <v>-8.1914401599464615E-2</v>
      </c>
      <c r="K86">
        <v>0.21301529154373308</v>
      </c>
    </row>
    <row r="87" spans="9:11">
      <c r="I87">
        <v>46</v>
      </c>
      <c r="J87">
        <v>8.4732269527921872E-2</v>
      </c>
      <c r="K87">
        <v>0.2178523703014705</v>
      </c>
    </row>
    <row r="88" spans="9:11">
      <c r="I88">
        <v>47</v>
      </c>
      <c r="J88">
        <v>-0.11249827213139507</v>
      </c>
      <c r="K88">
        <v>-2.4234631668448636E-2</v>
      </c>
    </row>
    <row r="89" spans="9:11">
      <c r="I89">
        <v>48</v>
      </c>
      <c r="J89">
        <v>-2.6098163844008742E-2</v>
      </c>
      <c r="K89">
        <v>8.2250987129569006E-2</v>
      </c>
    </row>
    <row r="90" spans="9:11">
      <c r="I90">
        <v>49</v>
      </c>
      <c r="J90">
        <v>3.6041484025918204E-2</v>
      </c>
      <c r="K90">
        <v>3.7418896364869357E-2</v>
      </c>
    </row>
    <row r="91" spans="9:11">
      <c r="I91">
        <v>50</v>
      </c>
      <c r="J91">
        <v>-0.13396579560089086</v>
      </c>
      <c r="K91">
        <v>0.23961457426771321</v>
      </c>
    </row>
    <row r="92" spans="9:11">
      <c r="I92">
        <v>51</v>
      </c>
      <c r="J92">
        <v>-1.5425640715912813E-2</v>
      </c>
      <c r="K92">
        <v>2.6814012244361835E-2</v>
      </c>
    </row>
    <row r="93" spans="9:11">
      <c r="I93">
        <v>52</v>
      </c>
      <c r="J93">
        <v>5.3692895934938097E-2</v>
      </c>
      <c r="K93">
        <v>-7.4106381023209045E-2</v>
      </c>
    </row>
    <row r="94" spans="9:11">
      <c r="I94">
        <v>53</v>
      </c>
      <c r="J94">
        <v>0.20702305566776436</v>
      </c>
      <c r="K94">
        <v>0.27993589856474083</v>
      </c>
    </row>
    <row r="95" spans="9:11">
      <c r="I95">
        <v>54</v>
      </c>
      <c r="J95">
        <v>-1.6513918115724426E-2</v>
      </c>
      <c r="K95">
        <v>-0.11681438403129285</v>
      </c>
    </row>
    <row r="96" spans="9:11">
      <c r="I96">
        <v>55</v>
      </c>
      <c r="J96">
        <v>7.313681301859068E-4</v>
      </c>
      <c r="K96">
        <v>-0.28032818803826115</v>
      </c>
    </row>
    <row r="97" spans="9:11">
      <c r="I97">
        <v>56</v>
      </c>
      <c r="J97">
        <v>0.15083431735146791</v>
      </c>
      <c r="K97">
        <v>8.0041564998347137E-3</v>
      </c>
    </row>
    <row r="98" spans="9:11">
      <c r="I98">
        <v>57</v>
      </c>
      <c r="J98">
        <v>-3.5096690288215104E-2</v>
      </c>
      <c r="K98">
        <v>0.2150313521657122</v>
      </c>
    </row>
    <row r="99" spans="9:11">
      <c r="I99">
        <v>58</v>
      </c>
      <c r="J99">
        <v>6.8184372582524647E-3</v>
      </c>
      <c r="K99">
        <v>0.62270090979617632</v>
      </c>
    </row>
    <row r="100" spans="9:11" ht="15" thickBot="1">
      <c r="I100" s="28">
        <v>59</v>
      </c>
      <c r="J100" s="28">
        <v>0.15229761410915127</v>
      </c>
      <c r="K100" s="28">
        <v>0.1434869595441472</v>
      </c>
    </row>
  </sheetData>
  <mergeCells count="1">
    <mergeCell ref="C64:E64"/>
  </mergeCell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15A16-0995-4F6A-AC41-FD5C95155211}">
  <dimension ref="A1:I82"/>
  <sheetViews>
    <sheetView zoomScale="85" zoomScaleNormal="85" workbookViewId="0">
      <pane xSplit="2" ySplit="1" topLeftCell="C5" activePane="bottomRight" state="frozen"/>
      <selection pane="topRight" activeCell="C1" sqref="C1"/>
      <selection pane="bottomLeft" activeCell="A2" sqref="A2"/>
      <selection pane="bottomRight" activeCell="B5" sqref="B5"/>
    </sheetView>
  </sheetViews>
  <sheetFormatPr defaultRowHeight="13.8"/>
  <cols>
    <col min="1" max="1" width="9.83203125" style="1" customWidth="1"/>
    <col min="2" max="2" width="12.4140625" style="1" bestFit="1" customWidth="1"/>
    <col min="3" max="3" width="10.08203125" style="9" bestFit="1" customWidth="1"/>
    <col min="4" max="4" width="9.9140625" style="9" bestFit="1" customWidth="1"/>
    <col min="5" max="5" width="8.6640625" style="9"/>
    <col min="6" max="6" width="9.08203125" style="9" bestFit="1" customWidth="1"/>
    <col min="7" max="7" width="10.08203125" style="9" bestFit="1" customWidth="1"/>
    <col min="8" max="8" width="17.33203125" style="9" customWidth="1"/>
    <col min="9" max="16384" width="8.6640625" style="9"/>
  </cols>
  <sheetData>
    <row r="1" spans="1:8" ht="41.4">
      <c r="A1" s="1" t="s">
        <v>0</v>
      </c>
      <c r="B1" s="1" t="s">
        <v>162</v>
      </c>
      <c r="C1" s="9" t="s">
        <v>143</v>
      </c>
      <c r="D1" s="9" t="s">
        <v>144</v>
      </c>
      <c r="E1" s="9" t="s">
        <v>147</v>
      </c>
      <c r="F1" s="9" t="s">
        <v>151</v>
      </c>
      <c r="G1" s="9" t="s">
        <v>152</v>
      </c>
      <c r="H1" s="9" t="s">
        <v>153</v>
      </c>
    </row>
    <row r="2" spans="1:8">
      <c r="A2" s="2">
        <v>45669</v>
      </c>
      <c r="B2" s="1">
        <f>'Adani Total Gas Stock Price His'!B4</f>
        <v>566.70000000000005</v>
      </c>
      <c r="C2" s="10">
        <f>(B2-B3)/B3</f>
        <v>-6.5853457512568922E-2</v>
      </c>
      <c r="D2" s="10">
        <f>LN(B2/B3)</f>
        <v>-6.8121955322308303E-2</v>
      </c>
      <c r="E2" s="11">
        <f>10+D2</f>
        <v>9.931878044677692</v>
      </c>
      <c r="F2" s="13">
        <f>1/59</f>
        <v>1.6949152542372881E-2</v>
      </c>
      <c r="G2" s="14">
        <f>D2*F2</f>
        <v>-1.1546094122425136E-3</v>
      </c>
      <c r="H2" s="9">
        <f>(D2-$G$66)^2*F2</f>
        <v>9.4955635784376821E-5</v>
      </c>
    </row>
    <row r="3" spans="1:8">
      <c r="A3" s="2">
        <v>45668</v>
      </c>
      <c r="B3" s="1">
        <f>'Adani Total Gas Stock Price His'!B5</f>
        <v>606.65</v>
      </c>
      <c r="C3" s="10">
        <f t="shared" ref="C3:C60" si="0">(B3-B4)/B4</f>
        <v>-3.9502849905003239E-2</v>
      </c>
      <c r="D3" s="10">
        <f t="shared" ref="D3:D60" si="1">LN(B3/B4)</f>
        <v>-4.0304263883605029E-2</v>
      </c>
      <c r="E3" s="11">
        <f t="shared" ref="E3:E60" si="2">10+D3</f>
        <v>9.9596957361163945</v>
      </c>
      <c r="F3" s="13">
        <f t="shared" ref="F3:F60" si="3">1/59</f>
        <v>1.6949152542372881E-2</v>
      </c>
      <c r="G3" s="14">
        <f t="shared" ref="G3:G60" si="4">D3*F3</f>
        <v>-6.8312311667127171E-4</v>
      </c>
      <c r="H3" s="9">
        <f t="shared" ref="H3:H60" si="5">(D3-$G$66)^2*F3</f>
        <v>3.7490679431100569E-5</v>
      </c>
    </row>
    <row r="4" spans="1:8">
      <c r="A4" s="2">
        <v>45667</v>
      </c>
      <c r="B4" s="1">
        <f>'Adani Total Gas Stock Price His'!B6</f>
        <v>631.6</v>
      </c>
      <c r="C4" s="10">
        <f t="shared" si="0"/>
        <v>1.0075163921317878E-2</v>
      </c>
      <c r="D4" s="10">
        <f t="shared" si="1"/>
        <v>1.0024747808234933E-2</v>
      </c>
      <c r="E4" s="11">
        <f t="shared" si="2"/>
        <v>10.010024747808234</v>
      </c>
      <c r="F4" s="13">
        <f t="shared" si="3"/>
        <v>1.6949152542372881E-2</v>
      </c>
      <c r="G4" s="14">
        <f t="shared" si="4"/>
        <v>1.6991097980059206E-4</v>
      </c>
      <c r="H4" s="9">
        <f t="shared" si="5"/>
        <v>1.8431217161669962E-7</v>
      </c>
    </row>
    <row r="5" spans="1:8">
      <c r="A5" s="2">
        <v>45666</v>
      </c>
      <c r="B5" s="1">
        <f>'Adani Total Gas Stock Price His'!B7</f>
        <v>625.29999999999995</v>
      </c>
      <c r="C5" s="10">
        <f t="shared" si="0"/>
        <v>5.7858230417864878E-2</v>
      </c>
      <c r="D5" s="10">
        <f t="shared" si="1"/>
        <v>5.6246326742928406E-2</v>
      </c>
      <c r="E5" s="11">
        <f t="shared" si="2"/>
        <v>10.056246326742928</v>
      </c>
      <c r="F5" s="13">
        <f t="shared" si="3"/>
        <v>1.6949152542372881E-2</v>
      </c>
      <c r="G5" s="14">
        <f t="shared" si="4"/>
        <v>9.5332757191404077E-4</v>
      </c>
      <c r="H5" s="9">
        <f t="shared" si="5"/>
        <v>4.1561913085581195E-5</v>
      </c>
    </row>
    <row r="6" spans="1:8">
      <c r="A6" s="2">
        <v>45665</v>
      </c>
      <c r="B6" s="1">
        <f>'Adani Total Gas Stock Price His'!B8</f>
        <v>591.1</v>
      </c>
      <c r="C6" s="10">
        <f t="shared" si="0"/>
        <v>-2.151961595762291E-2</v>
      </c>
      <c r="D6" s="10">
        <f t="shared" si="1"/>
        <v>-2.1754539314371713E-2</v>
      </c>
      <c r="E6" s="11">
        <f t="shared" si="2"/>
        <v>9.9782454606856277</v>
      </c>
      <c r="F6" s="13">
        <f t="shared" si="3"/>
        <v>1.6949152542372881E-2</v>
      </c>
      <c r="G6" s="14">
        <f t="shared" si="4"/>
        <v>-3.687210053283341E-4</v>
      </c>
      <c r="H6" s="9">
        <f t="shared" si="5"/>
        <v>1.3749225790850128E-5</v>
      </c>
    </row>
    <row r="7" spans="1:8">
      <c r="A7" s="2">
        <v>45664</v>
      </c>
      <c r="B7" s="1">
        <f>'Adani Total Gas Stock Price His'!B9</f>
        <v>604.1</v>
      </c>
      <c r="C7" s="10">
        <f t="shared" si="0"/>
        <v>-0.10603033666296705</v>
      </c>
      <c r="D7" s="10">
        <f t="shared" si="1"/>
        <v>-0.11208343801186135</v>
      </c>
      <c r="E7" s="11">
        <f t="shared" si="2"/>
        <v>9.8879165619881384</v>
      </c>
      <c r="F7" s="13">
        <f t="shared" si="3"/>
        <v>1.6949152542372881E-2</v>
      </c>
      <c r="G7" s="14">
        <f t="shared" si="4"/>
        <v>-1.899719288336633E-3</v>
      </c>
      <c r="H7" s="9">
        <f t="shared" si="5"/>
        <v>2.3925332559987265E-4</v>
      </c>
    </row>
    <row r="8" spans="1:8">
      <c r="A8" s="2">
        <v>45663</v>
      </c>
      <c r="B8" s="1">
        <f>'Adani Total Gas Stock Price His'!B10</f>
        <v>675.75</v>
      </c>
      <c r="C8" s="10">
        <f t="shared" si="0"/>
        <v>-1.1700182815356491E-2</v>
      </c>
      <c r="D8" s="10">
        <f t="shared" si="1"/>
        <v>-1.1769168579633936E-2</v>
      </c>
      <c r="E8" s="11">
        <f t="shared" si="2"/>
        <v>9.9882308314203669</v>
      </c>
      <c r="F8" s="13">
        <f t="shared" si="3"/>
        <v>1.6949152542372881E-2</v>
      </c>
      <c r="G8" s="14">
        <f t="shared" si="4"/>
        <v>-1.9947743355311758E-4</v>
      </c>
      <c r="H8" s="9">
        <f t="shared" si="5"/>
        <v>5.7985136340069327E-6</v>
      </c>
    </row>
    <row r="9" spans="1:8">
      <c r="A9" s="2">
        <v>45662</v>
      </c>
      <c r="B9" s="1">
        <f>'Adani Total Gas Stock Price His'!B11</f>
        <v>683.75</v>
      </c>
      <c r="C9" s="10">
        <f t="shared" si="0"/>
        <v>0.13920359880039979</v>
      </c>
      <c r="D9" s="10">
        <f t="shared" si="1"/>
        <v>0.13032942072992404</v>
      </c>
      <c r="E9" s="11">
        <f t="shared" si="2"/>
        <v>10.130329420729923</v>
      </c>
      <c r="F9" s="13">
        <f t="shared" si="3"/>
        <v>1.6949152542372881E-2</v>
      </c>
      <c r="G9" s="14">
        <f t="shared" si="4"/>
        <v>2.2089732327105769E-3</v>
      </c>
      <c r="H9" s="9">
        <f t="shared" si="5"/>
        <v>2.5894120899387115E-4</v>
      </c>
    </row>
    <row r="10" spans="1:8">
      <c r="A10" s="2">
        <v>45661</v>
      </c>
      <c r="B10" s="1">
        <f>'Adani Total Gas Stock Price His'!B12</f>
        <v>600.20000000000005</v>
      </c>
      <c r="C10" s="10">
        <f t="shared" si="0"/>
        <v>-3.9827414537005924E-3</v>
      </c>
      <c r="D10" s="10">
        <f t="shared" si="1"/>
        <v>-3.9906936899340786E-3</v>
      </c>
      <c r="E10" s="11">
        <f t="shared" si="2"/>
        <v>9.9960093063100661</v>
      </c>
      <c r="F10" s="13">
        <f t="shared" si="3"/>
        <v>1.6949152542372881E-2</v>
      </c>
      <c r="G10" s="14">
        <f t="shared" si="4"/>
        <v>-6.7638876100577602E-5</v>
      </c>
      <c r="H10" s="9">
        <f t="shared" si="5"/>
        <v>1.9469712906695058E-6</v>
      </c>
    </row>
    <row r="11" spans="1:8">
      <c r="A11" s="2">
        <v>45660</v>
      </c>
      <c r="B11" s="1">
        <f>'Adani Total Gas Stock Price His'!B13</f>
        <v>602.6</v>
      </c>
      <c r="C11" s="10">
        <f t="shared" si="0"/>
        <v>8.1575877232343261E-2</v>
      </c>
      <c r="D11" s="10">
        <f t="shared" si="1"/>
        <v>7.8419123203137917E-2</v>
      </c>
      <c r="E11" s="11">
        <f t="shared" si="2"/>
        <v>10.078419123203139</v>
      </c>
      <c r="F11" s="13">
        <f t="shared" si="3"/>
        <v>1.6949152542372881E-2</v>
      </c>
      <c r="G11" s="14">
        <f t="shared" si="4"/>
        <v>1.3291376814091173E-3</v>
      </c>
      <c r="H11" s="9">
        <f t="shared" si="5"/>
        <v>8.71143190267988E-5</v>
      </c>
    </row>
    <row r="12" spans="1:8">
      <c r="A12" s="2">
        <v>45659</v>
      </c>
      <c r="B12" s="1">
        <f>'Adani Total Gas Stock Price His'!B14</f>
        <v>557.15</v>
      </c>
      <c r="C12" s="10">
        <f t="shared" si="0"/>
        <v>-0.13364951018504126</v>
      </c>
      <c r="D12" s="10">
        <f t="shared" si="1"/>
        <v>-0.14346572964775456</v>
      </c>
      <c r="E12" s="11">
        <f t="shared" si="2"/>
        <v>9.8565342703522454</v>
      </c>
      <c r="F12" s="13">
        <f t="shared" si="3"/>
        <v>1.6949152542372881E-2</v>
      </c>
      <c r="G12" s="14">
        <f t="shared" si="4"/>
        <v>-2.4316225364026198E-3</v>
      </c>
      <c r="H12" s="9">
        <f t="shared" si="5"/>
        <v>3.823371007510934E-4</v>
      </c>
    </row>
    <row r="13" spans="1:8">
      <c r="A13" s="2">
        <v>45658</v>
      </c>
      <c r="B13" s="1">
        <f>'Adani Total Gas Stock Price His'!B15</f>
        <v>643.1</v>
      </c>
      <c r="C13" s="10">
        <f t="shared" si="0"/>
        <v>-0.15498324683003736</v>
      </c>
      <c r="D13" s="10">
        <f t="shared" si="1"/>
        <v>-0.1683988255848583</v>
      </c>
      <c r="E13" s="11">
        <f t="shared" si="2"/>
        <v>9.831601174415141</v>
      </c>
      <c r="F13" s="13">
        <f t="shared" si="3"/>
        <v>1.6949152542372881E-2</v>
      </c>
      <c r="G13" s="14">
        <f t="shared" si="4"/>
        <v>-2.8542173827942087E-3</v>
      </c>
      <c r="H13" s="9">
        <f t="shared" si="5"/>
        <v>5.1981513821294648E-4</v>
      </c>
    </row>
    <row r="14" spans="1:8">
      <c r="A14" s="2">
        <v>45303</v>
      </c>
      <c r="B14" s="1">
        <f>'Adani Total Gas Stock Price His'!B16</f>
        <v>761.05</v>
      </c>
      <c r="C14" s="10">
        <f t="shared" si="0"/>
        <v>-6.3150120022158016E-2</v>
      </c>
      <c r="D14" s="10">
        <f t="shared" si="1"/>
        <v>-6.5232223050083624E-2</v>
      </c>
      <c r="E14" s="11">
        <f t="shared" si="2"/>
        <v>9.9347677769499168</v>
      </c>
      <c r="F14" s="13">
        <f t="shared" si="3"/>
        <v>1.6949152542372881E-2</v>
      </c>
      <c r="G14" s="14">
        <f t="shared" si="4"/>
        <v>-1.1056308991539596E-3</v>
      </c>
      <c r="H14" s="9">
        <f t="shared" si="5"/>
        <v>8.7765178767907443E-5</v>
      </c>
    </row>
    <row r="15" spans="1:8">
      <c r="A15" s="2">
        <v>45302</v>
      </c>
      <c r="B15" s="1">
        <f>'Adani Total Gas Stock Price His'!B17</f>
        <v>812.35</v>
      </c>
      <c r="C15" s="10">
        <f t="shared" si="0"/>
        <v>0.13085543258857102</v>
      </c>
      <c r="D15" s="10">
        <f t="shared" si="1"/>
        <v>0.12297436631903137</v>
      </c>
      <c r="E15" s="11">
        <f t="shared" si="2"/>
        <v>10.122974366319031</v>
      </c>
      <c r="F15" s="13">
        <f t="shared" si="3"/>
        <v>1.6949152542372881E-2</v>
      </c>
      <c r="G15" s="14">
        <f t="shared" si="4"/>
        <v>2.0843112935429045E-3</v>
      </c>
      <c r="H15" s="9">
        <f t="shared" si="5"/>
        <v>2.2904109674319248E-4</v>
      </c>
    </row>
    <row r="16" spans="1:8">
      <c r="A16" s="2">
        <v>45301</v>
      </c>
      <c r="B16" s="1">
        <f>'Adani Total Gas Stock Price His'!B18</f>
        <v>718.35</v>
      </c>
      <c r="C16" s="10">
        <f t="shared" si="0"/>
        <v>-8.6649713922441168E-2</v>
      </c>
      <c r="D16" s="10">
        <f t="shared" si="1"/>
        <v>-9.0635807041604399E-2</v>
      </c>
      <c r="E16" s="11">
        <f t="shared" si="2"/>
        <v>9.909364192958396</v>
      </c>
      <c r="F16" s="13">
        <f t="shared" si="3"/>
        <v>1.6949152542372881E-2</v>
      </c>
      <c r="G16" s="14">
        <f t="shared" si="4"/>
        <v>-1.5362001193492271E-3</v>
      </c>
      <c r="H16" s="9">
        <f t="shared" si="5"/>
        <v>1.6067012755843933E-4</v>
      </c>
    </row>
    <row r="17" spans="1:8">
      <c r="A17" s="2">
        <v>45300</v>
      </c>
      <c r="B17" s="1">
        <f>'Adani Total Gas Stock Price His'!B19</f>
        <v>786.5</v>
      </c>
      <c r="C17" s="10">
        <f t="shared" si="0"/>
        <v>-5.2809056421990755E-2</v>
      </c>
      <c r="D17" s="10">
        <f t="shared" si="1"/>
        <v>-5.4254576154429607E-2</v>
      </c>
      <c r="E17" s="11">
        <f t="shared" si="2"/>
        <v>9.9457454238455707</v>
      </c>
      <c r="F17" s="13">
        <f t="shared" si="3"/>
        <v>1.6949152542372881E-2</v>
      </c>
      <c r="G17" s="14">
        <f t="shared" si="4"/>
        <v>-9.1956908736321363E-4</v>
      </c>
      <c r="H17" s="9">
        <f t="shared" si="5"/>
        <v>6.3029932043301041E-5</v>
      </c>
    </row>
    <row r="18" spans="1:8">
      <c r="A18" s="2">
        <v>45299</v>
      </c>
      <c r="B18" s="1">
        <f>'Adani Total Gas Stock Price His'!B20</f>
        <v>830.35</v>
      </c>
      <c r="C18" s="10">
        <f t="shared" si="0"/>
        <v>-7.2804421863659124E-2</v>
      </c>
      <c r="D18" s="10">
        <f t="shared" si="1"/>
        <v>-7.5590756018505345E-2</v>
      </c>
      <c r="E18" s="11">
        <f t="shared" si="2"/>
        <v>9.9244092439814953</v>
      </c>
      <c r="F18" s="13">
        <f t="shared" si="3"/>
        <v>1.6949152542372881E-2</v>
      </c>
      <c r="G18" s="14">
        <f t="shared" si="4"/>
        <v>-1.2811992545509381E-3</v>
      </c>
      <c r="H18" s="9">
        <f t="shared" si="5"/>
        <v>1.1485137272331977E-4</v>
      </c>
    </row>
    <row r="19" spans="1:8">
      <c r="A19" s="2">
        <v>45298</v>
      </c>
      <c r="B19" s="1">
        <f>'Adani Total Gas Stock Price His'!B21</f>
        <v>895.55</v>
      </c>
      <c r="C19" s="10">
        <f t="shared" si="0"/>
        <v>-5.0223214285719366E-4</v>
      </c>
      <c r="D19" s="10">
        <f t="shared" si="1"/>
        <v>-5.023583036629309E-4</v>
      </c>
      <c r="E19" s="11">
        <f t="shared" si="2"/>
        <v>9.9994976416963368</v>
      </c>
      <c r="F19" s="13">
        <f t="shared" si="3"/>
        <v>1.6949152542372881E-2</v>
      </c>
      <c r="G19" s="14">
        <f t="shared" si="4"/>
        <v>-8.5145475197106933E-6</v>
      </c>
      <c r="H19" s="9">
        <f t="shared" si="5"/>
        <v>8.8585093817651655E-7</v>
      </c>
    </row>
    <row r="20" spans="1:8">
      <c r="A20" s="2">
        <v>45297</v>
      </c>
      <c r="B20" s="1">
        <f>'Adani Total Gas Stock Price His'!B22</f>
        <v>896</v>
      </c>
      <c r="C20" s="10">
        <f t="shared" si="0"/>
        <v>-0.13788126623689018</v>
      </c>
      <c r="D20" s="10">
        <f t="shared" si="1"/>
        <v>-0.14836227561944554</v>
      </c>
      <c r="E20" s="11">
        <f t="shared" si="2"/>
        <v>9.851637724380554</v>
      </c>
      <c r="F20" s="13">
        <f t="shared" si="3"/>
        <v>1.6949152542372881E-2</v>
      </c>
      <c r="G20" s="14">
        <f t="shared" si="4"/>
        <v>-2.5146148410075514E-3</v>
      </c>
      <c r="H20" s="9">
        <f t="shared" si="5"/>
        <v>4.0767317610515975E-4</v>
      </c>
    </row>
    <row r="21" spans="1:8">
      <c r="A21" s="2">
        <v>45296</v>
      </c>
      <c r="B21" s="1">
        <f>'Adani Total Gas Stock Price His'!B23</f>
        <v>1039.3</v>
      </c>
      <c r="C21" s="10">
        <f t="shared" si="0"/>
        <v>0.11860940695296517</v>
      </c>
      <c r="D21" s="10">
        <f t="shared" si="1"/>
        <v>0.11208631294710904</v>
      </c>
      <c r="E21" s="11">
        <f t="shared" si="2"/>
        <v>10.11208631294711</v>
      </c>
      <c r="F21" s="13">
        <f t="shared" si="3"/>
        <v>1.6949152542372881E-2</v>
      </c>
      <c r="G21" s="14">
        <f t="shared" si="4"/>
        <v>1.8997680160526954E-3</v>
      </c>
      <c r="H21" s="9">
        <f t="shared" si="5"/>
        <v>1.8814511426871127E-4</v>
      </c>
    </row>
    <row r="22" spans="1:8">
      <c r="A22" s="2">
        <v>45295</v>
      </c>
      <c r="B22" s="1">
        <f>'Adani Total Gas Stock Price His'!B24</f>
        <v>929.1</v>
      </c>
      <c r="C22" s="10">
        <f t="shared" si="0"/>
        <v>2.7521450542335206E-3</v>
      </c>
      <c r="D22" s="10">
        <f t="shared" si="1"/>
        <v>2.7483648372491178E-3</v>
      </c>
      <c r="E22" s="11">
        <f t="shared" si="2"/>
        <v>10.002748364837249</v>
      </c>
      <c r="F22" s="13">
        <f t="shared" si="3"/>
        <v>1.6949152542372881E-2</v>
      </c>
      <c r="G22" s="14">
        <f t="shared" si="4"/>
        <v>4.6582454868629114E-5</v>
      </c>
      <c r="H22" s="9">
        <f t="shared" si="5"/>
        <v>2.6831202435775721E-7</v>
      </c>
    </row>
    <row r="23" spans="1:8">
      <c r="A23" s="2">
        <v>45294</v>
      </c>
      <c r="B23" s="1">
        <f>'Adani Total Gas Stock Price His'!B25</f>
        <v>926.55</v>
      </c>
      <c r="C23" s="10">
        <f t="shared" si="0"/>
        <v>-9.6621654560522727E-2</v>
      </c>
      <c r="D23" s="10">
        <f t="shared" si="1"/>
        <v>-0.10161382611812822</v>
      </c>
      <c r="E23" s="11">
        <f t="shared" si="2"/>
        <v>9.898386173881871</v>
      </c>
      <c r="F23" s="13">
        <f t="shared" si="3"/>
        <v>1.6949152542372881E-2</v>
      </c>
      <c r="G23" s="14">
        <f t="shared" si="4"/>
        <v>-1.7222682392903088E-3</v>
      </c>
      <c r="H23" s="9">
        <f t="shared" si="5"/>
        <v>1.9894505661060765E-4</v>
      </c>
    </row>
    <row r="24" spans="1:8">
      <c r="A24" s="2">
        <v>45293</v>
      </c>
      <c r="B24" s="1">
        <f>'Adani Total Gas Stock Price His'!B26</f>
        <v>1025.6500000000001</v>
      </c>
      <c r="C24" s="10">
        <f t="shared" si="0"/>
        <v>1.3137748802291765E-2</v>
      </c>
      <c r="D24" s="10">
        <f t="shared" si="1"/>
        <v>1.3052197070620695E-2</v>
      </c>
      <c r="E24" s="11">
        <f t="shared" si="2"/>
        <v>10.013052197070621</v>
      </c>
      <c r="F24" s="13">
        <f t="shared" si="3"/>
        <v>1.6949152542372881E-2</v>
      </c>
      <c r="G24" s="14">
        <f t="shared" si="4"/>
        <v>2.2122367916306261E-4</v>
      </c>
      <c r="H24" s="9">
        <f t="shared" si="5"/>
        <v>6.7808020722698885E-7</v>
      </c>
    </row>
    <row r="25" spans="1:8">
      <c r="A25" s="2">
        <v>45292</v>
      </c>
      <c r="B25" s="1">
        <f>'Adani Total Gas Stock Price His'!B27</f>
        <v>1012.35</v>
      </c>
      <c r="C25" s="10">
        <f t="shared" si="0"/>
        <v>2.4697606154157576E-2</v>
      </c>
      <c r="D25" s="10">
        <f t="shared" si="1"/>
        <v>2.4397550677698651E-2</v>
      </c>
      <c r="E25" s="11">
        <f t="shared" si="2"/>
        <v>10.024397550677699</v>
      </c>
      <c r="F25" s="13">
        <f t="shared" si="3"/>
        <v>1.6949152542372881E-2</v>
      </c>
      <c r="G25" s="14">
        <f t="shared" si="4"/>
        <v>4.1351780809658733E-4</v>
      </c>
      <c r="H25" s="9">
        <f t="shared" si="5"/>
        <v>5.2922794894747177E-6</v>
      </c>
    </row>
    <row r="26" spans="1:8">
      <c r="A26" s="2">
        <v>44938</v>
      </c>
      <c r="B26" s="1">
        <f>'Adani Total Gas Stock Price His'!B28</f>
        <v>987.95</v>
      </c>
      <c r="C26" s="10">
        <f t="shared" si="0"/>
        <v>0.39383465011286695</v>
      </c>
      <c r="D26" s="10">
        <f t="shared" si="1"/>
        <v>0.33205868988895532</v>
      </c>
      <c r="E26" s="11">
        <f t="shared" si="2"/>
        <v>10.332058689888955</v>
      </c>
      <c r="F26" s="13">
        <f t="shared" si="3"/>
        <v>1.6949152542372881E-2</v>
      </c>
      <c r="G26" s="14">
        <f t="shared" si="4"/>
        <v>5.6281133879483953E-3</v>
      </c>
      <c r="H26" s="9">
        <f t="shared" si="5"/>
        <v>1.793909104578053E-3</v>
      </c>
    </row>
    <row r="27" spans="1:8">
      <c r="A27" s="2">
        <v>44937</v>
      </c>
      <c r="B27" s="1">
        <f>'Adani Total Gas Stock Price His'!B29</f>
        <v>708.8</v>
      </c>
      <c r="C27" s="10">
        <f t="shared" si="0"/>
        <v>0.25606946659578239</v>
      </c>
      <c r="D27" s="10">
        <f t="shared" si="1"/>
        <v>0.22798737431577676</v>
      </c>
      <c r="E27" s="11">
        <f t="shared" si="2"/>
        <v>10.227987374315777</v>
      </c>
      <c r="F27" s="13">
        <f t="shared" si="3"/>
        <v>1.6949152542372881E-2</v>
      </c>
      <c r="G27" s="14">
        <f t="shared" si="4"/>
        <v>3.8641927850131654E-3</v>
      </c>
      <c r="H27" s="9">
        <f t="shared" si="5"/>
        <v>8.2976448757832047E-4</v>
      </c>
    </row>
    <row r="28" spans="1:8">
      <c r="A28" s="2">
        <v>44936</v>
      </c>
      <c r="B28" s="1">
        <f>'Adani Total Gas Stock Price His'!B30</f>
        <v>564.29999999999995</v>
      </c>
      <c r="C28" s="10">
        <f t="shared" si="0"/>
        <v>-7.9820627802690655E-2</v>
      </c>
      <c r="D28" s="10">
        <f t="shared" si="1"/>
        <v>-8.3186658163504318E-2</v>
      </c>
      <c r="E28" s="11">
        <f t="shared" si="2"/>
        <v>9.9168133418364963</v>
      </c>
      <c r="F28" s="13">
        <f t="shared" si="3"/>
        <v>1.6949152542372881E-2</v>
      </c>
      <c r="G28" s="14">
        <f t="shared" si="4"/>
        <v>-1.4099433587034631E-3</v>
      </c>
      <c r="H28" s="9">
        <f t="shared" si="5"/>
        <v>1.3702518005525129E-4</v>
      </c>
    </row>
    <row r="29" spans="1:8">
      <c r="A29" s="2">
        <v>44935</v>
      </c>
      <c r="B29" s="1">
        <f>'Adani Total Gas Stock Price His'!B31</f>
        <v>613.25</v>
      </c>
      <c r="C29" s="10">
        <f t="shared" si="0"/>
        <v>-3.5467128027681594E-2</v>
      </c>
      <c r="D29" s="10">
        <f t="shared" si="1"/>
        <v>-3.6111365338103579E-2</v>
      </c>
      <c r="E29" s="11">
        <f t="shared" si="2"/>
        <v>9.9638886346618971</v>
      </c>
      <c r="F29" s="13">
        <f t="shared" si="3"/>
        <v>1.6949152542372881E-2</v>
      </c>
      <c r="G29" s="14">
        <f t="shared" si="4"/>
        <v>-6.1205703962887424E-4</v>
      </c>
      <c r="H29" s="9">
        <f t="shared" si="5"/>
        <v>3.1103981867412662E-5</v>
      </c>
    </row>
    <row r="30" spans="1:8">
      <c r="A30" s="2">
        <v>44934</v>
      </c>
      <c r="B30" s="1">
        <f>'Adani Total Gas Stock Price His'!B32</f>
        <v>635.79999999999995</v>
      </c>
      <c r="C30" s="10">
        <f t="shared" si="0"/>
        <v>-4.2037064938978588E-2</v>
      </c>
      <c r="D30" s="10">
        <f t="shared" si="1"/>
        <v>-4.2946191675177138E-2</v>
      </c>
      <c r="E30" s="11">
        <f t="shared" si="2"/>
        <v>9.9570538083248223</v>
      </c>
      <c r="F30" s="13">
        <f t="shared" si="3"/>
        <v>1.6949152542372881E-2</v>
      </c>
      <c r="G30" s="14">
        <f t="shared" si="4"/>
        <v>-7.2790155381656171E-4</v>
      </c>
      <c r="H30" s="9">
        <f t="shared" si="5"/>
        <v>4.1820963626377819E-5</v>
      </c>
    </row>
    <row r="31" spans="1:8">
      <c r="A31" s="2">
        <v>44933</v>
      </c>
      <c r="B31" s="1">
        <f>'Adani Total Gas Stock Price His'!B33</f>
        <v>663.7</v>
      </c>
      <c r="C31" s="10">
        <f t="shared" si="0"/>
        <v>1.390161930950202E-2</v>
      </c>
      <c r="D31" s="10">
        <f t="shared" si="1"/>
        <v>1.3805878084799227E-2</v>
      </c>
      <c r="E31" s="11">
        <f t="shared" si="2"/>
        <v>10.013805878084799</v>
      </c>
      <c r="F31" s="13">
        <f t="shared" si="3"/>
        <v>1.6949152542372881E-2</v>
      </c>
      <c r="G31" s="14">
        <f t="shared" si="4"/>
        <v>2.3399793364066486E-4</v>
      </c>
      <c r="H31" s="9">
        <f t="shared" si="5"/>
        <v>8.4930447562746009E-7</v>
      </c>
    </row>
    <row r="32" spans="1:8">
      <c r="A32" s="2">
        <v>44932</v>
      </c>
      <c r="B32" s="1">
        <f>'Adani Total Gas Stock Price His'!B34</f>
        <v>654.6</v>
      </c>
      <c r="C32" s="10">
        <f t="shared" si="0"/>
        <v>-1.4379281788752472E-2</v>
      </c>
      <c r="D32" s="10">
        <f t="shared" si="1"/>
        <v>-1.448366551143212E-2</v>
      </c>
      <c r="E32" s="11">
        <f t="shared" si="2"/>
        <v>9.9855163344885671</v>
      </c>
      <c r="F32" s="13">
        <f t="shared" si="3"/>
        <v>1.6949152542372881E-2</v>
      </c>
      <c r="G32" s="14">
        <f t="shared" si="4"/>
        <v>-2.4548585612596812E-4</v>
      </c>
      <c r="H32" s="9">
        <f t="shared" si="5"/>
        <v>7.6253725157412836E-6</v>
      </c>
    </row>
    <row r="33" spans="1:8">
      <c r="A33" s="2">
        <v>44931</v>
      </c>
      <c r="B33" s="1">
        <f>'Adani Total Gas Stock Price His'!B35</f>
        <v>664.15</v>
      </c>
      <c r="C33" s="10">
        <f t="shared" si="0"/>
        <v>-0.29719576719576724</v>
      </c>
      <c r="D33" s="10">
        <f t="shared" si="1"/>
        <v>-0.35267689991523049</v>
      </c>
      <c r="E33" s="11">
        <f t="shared" si="2"/>
        <v>9.647323100084769</v>
      </c>
      <c r="F33" s="13">
        <f t="shared" si="3"/>
        <v>1.6949152542372881E-2</v>
      </c>
      <c r="G33" s="14">
        <f t="shared" si="4"/>
        <v>-5.9775745748344147E-3</v>
      </c>
      <c r="H33" s="9">
        <f t="shared" si="5"/>
        <v>2.1893430849995602E-3</v>
      </c>
    </row>
    <row r="34" spans="1:8">
      <c r="A34" s="2">
        <v>44930</v>
      </c>
      <c r="B34" s="1">
        <f>'Adani Total Gas Stock Price His'!B36</f>
        <v>945</v>
      </c>
      <c r="C34" s="10">
        <f t="shared" si="0"/>
        <v>8.9023336214347451E-2</v>
      </c>
      <c r="D34" s="10">
        <f t="shared" si="1"/>
        <v>8.5281272751847201E-2</v>
      </c>
      <c r="E34" s="11">
        <f t="shared" si="2"/>
        <v>10.085281272751848</v>
      </c>
      <c r="F34" s="13">
        <f t="shared" si="3"/>
        <v>1.6949152542372881E-2</v>
      </c>
      <c r="G34" s="14">
        <f t="shared" si="4"/>
        <v>1.4454453008787662E-3</v>
      </c>
      <c r="H34" s="9">
        <f t="shared" si="5"/>
        <v>1.0458909419274201E-4</v>
      </c>
    </row>
    <row r="35" spans="1:8">
      <c r="A35" s="2">
        <v>44929</v>
      </c>
      <c r="B35" s="1">
        <f>'Adani Total Gas Stock Price His'!B37</f>
        <v>867.75</v>
      </c>
      <c r="C35" s="10">
        <f t="shared" si="0"/>
        <v>0.27882985778498276</v>
      </c>
      <c r="D35" s="10">
        <f t="shared" si="1"/>
        <v>0.24594548621451603</v>
      </c>
      <c r="E35" s="11">
        <f t="shared" si="2"/>
        <v>10.245945486214517</v>
      </c>
      <c r="F35" s="13">
        <f t="shared" si="3"/>
        <v>1.6949152542372881E-2</v>
      </c>
      <c r="G35" s="14">
        <f t="shared" si="4"/>
        <v>4.1685675629578988E-3</v>
      </c>
      <c r="H35" s="9">
        <f t="shared" si="5"/>
        <v>9.6992257181594682E-4</v>
      </c>
    </row>
    <row r="36" spans="1:8">
      <c r="A36" s="2">
        <v>44928</v>
      </c>
      <c r="B36" s="1">
        <f>'Adani Total Gas Stock Price His'!B38</f>
        <v>678.55</v>
      </c>
      <c r="C36" s="10">
        <f t="shared" si="0"/>
        <v>-0.67813774784176073</v>
      </c>
      <c r="D36" s="10">
        <f t="shared" si="1"/>
        <v>-1.133631613293709</v>
      </c>
      <c r="E36" s="11">
        <f t="shared" si="2"/>
        <v>8.8663683867062915</v>
      </c>
      <c r="F36" s="13">
        <f t="shared" si="3"/>
        <v>1.6949152542372881E-2</v>
      </c>
      <c r="G36" s="14">
        <f t="shared" si="4"/>
        <v>-1.921409514057134E-2</v>
      </c>
      <c r="H36" s="9">
        <f t="shared" si="5"/>
        <v>2.2040983334759193E-2</v>
      </c>
    </row>
    <row r="37" spans="1:8">
      <c r="A37" s="2">
        <v>44927</v>
      </c>
      <c r="B37" s="1">
        <f>'Adani Total Gas Stock Price His'!B39</f>
        <v>2108.1999999999998</v>
      </c>
      <c r="C37" s="10">
        <f t="shared" si="0"/>
        <v>-0.42911301569248689</v>
      </c>
      <c r="D37" s="10">
        <f t="shared" si="1"/>
        <v>-0.56056401482232565</v>
      </c>
      <c r="E37" s="11">
        <f t="shared" si="2"/>
        <v>9.4394359851776741</v>
      </c>
      <c r="F37" s="13">
        <f t="shared" si="3"/>
        <v>1.6949152542372881E-2</v>
      </c>
      <c r="G37" s="14">
        <f t="shared" si="4"/>
        <v>-9.5010849969885697E-3</v>
      </c>
      <c r="H37" s="9">
        <f>(D37-$G$66)^2*F37</f>
        <v>5.4545630471895578E-3</v>
      </c>
    </row>
    <row r="38" spans="1:8">
      <c r="A38" s="2">
        <v>44573</v>
      </c>
      <c r="B38" s="1">
        <f>'Adani Total Gas Stock Price His'!B40</f>
        <v>3692.85</v>
      </c>
      <c r="C38" s="10">
        <f t="shared" si="0"/>
        <v>1.6543940540912506E-2</v>
      </c>
      <c r="D38" s="10">
        <f t="shared" si="1"/>
        <v>1.6408580442609143E-2</v>
      </c>
      <c r="E38" s="11">
        <f t="shared" si="2"/>
        <v>10.01640858044261</v>
      </c>
      <c r="F38" s="13">
        <f t="shared" si="3"/>
        <v>1.6949152542372881E-2</v>
      </c>
      <c r="G38" s="14">
        <f t="shared" si="4"/>
        <v>2.7811153292557872E-4</v>
      </c>
      <c r="H38" s="9">
        <f t="shared" si="5"/>
        <v>1.5886589622254083E-6</v>
      </c>
    </row>
    <row r="39" spans="1:8">
      <c r="A39" s="2">
        <v>44572</v>
      </c>
      <c r="B39" s="1">
        <f>'Adani Total Gas Stock Price His'!B41</f>
        <v>3632.75</v>
      </c>
      <c r="C39" s="10">
        <f t="shared" si="0"/>
        <v>8.2989855253480134E-3</v>
      </c>
      <c r="D39" s="10">
        <f t="shared" si="1"/>
        <v>8.2647382927021305E-3</v>
      </c>
      <c r="E39" s="11">
        <f t="shared" si="2"/>
        <v>10.008264738292702</v>
      </c>
      <c r="F39" s="13">
        <f t="shared" si="3"/>
        <v>1.6949152542372881E-2</v>
      </c>
      <c r="G39" s="14">
        <f t="shared" si="4"/>
        <v>1.4008031004579882E-4</v>
      </c>
      <c r="H39" s="9">
        <f t="shared" si="5"/>
        <v>4.0072918144610697E-8</v>
      </c>
    </row>
    <row r="40" spans="1:8">
      <c r="A40" s="2">
        <v>44571</v>
      </c>
      <c r="B40" s="1">
        <f>'Adani Total Gas Stock Price His'!B42</f>
        <v>3602.85</v>
      </c>
      <c r="C40" s="10">
        <f t="shared" si="0"/>
        <v>7.8746051469377368E-2</v>
      </c>
      <c r="D40" s="10">
        <f t="shared" si="1"/>
        <v>7.5799303125490006E-2</v>
      </c>
      <c r="E40" s="11">
        <f t="shared" si="2"/>
        <v>10.075799303125491</v>
      </c>
      <c r="F40" s="13">
        <f t="shared" si="3"/>
        <v>1.6949152542372881E-2</v>
      </c>
      <c r="G40" s="14">
        <f t="shared" si="4"/>
        <v>1.2847339512794915E-3</v>
      </c>
      <c r="H40" s="9">
        <f t="shared" si="5"/>
        <v>8.0863863156526263E-5</v>
      </c>
    </row>
    <row r="41" spans="1:8">
      <c r="A41" s="2">
        <v>44570</v>
      </c>
      <c r="B41" s="1">
        <f>'Adani Total Gas Stock Price His'!B43</f>
        <v>3339.85</v>
      </c>
      <c r="C41" s="10">
        <f t="shared" si="0"/>
        <v>-0.108172338749516</v>
      </c>
      <c r="D41" s="10">
        <f t="shared" si="1"/>
        <v>-0.11448236994473315</v>
      </c>
      <c r="E41" s="11">
        <f t="shared" si="2"/>
        <v>9.8855176300552667</v>
      </c>
      <c r="F41" s="13">
        <f t="shared" si="3"/>
        <v>1.6949152542372881E-2</v>
      </c>
      <c r="G41" s="14">
        <f t="shared" si="4"/>
        <v>-1.9403791516056468E-3</v>
      </c>
      <c r="H41" s="9">
        <f t="shared" si="5"/>
        <v>2.4901250708128593E-4</v>
      </c>
    </row>
    <row r="42" spans="1:8">
      <c r="A42" s="2">
        <v>44569</v>
      </c>
      <c r="B42" s="1">
        <f>'Adani Total Gas Stock Price His'!B44</f>
        <v>3744.95</v>
      </c>
      <c r="C42" s="10">
        <f t="shared" si="0"/>
        <v>0.19754093118444616</v>
      </c>
      <c r="D42" s="10">
        <f t="shared" si="1"/>
        <v>0.18027023024860125</v>
      </c>
      <c r="E42" s="11">
        <f t="shared" si="2"/>
        <v>10.180270230248601</v>
      </c>
      <c r="F42" s="13">
        <f t="shared" si="3"/>
        <v>1.6949152542372881E-2</v>
      </c>
      <c r="G42" s="14">
        <f t="shared" si="4"/>
        <v>3.0554276313322247E-3</v>
      </c>
      <c r="H42" s="9">
        <f t="shared" si="5"/>
        <v>5.1046126684886942E-4</v>
      </c>
    </row>
    <row r="43" spans="1:8">
      <c r="A43" s="2">
        <v>44568</v>
      </c>
      <c r="B43" s="1">
        <f>'Adani Total Gas Stock Price His'!B45</f>
        <v>3127.2</v>
      </c>
      <c r="C43" s="10">
        <f t="shared" si="0"/>
        <v>0.30686614568097276</v>
      </c>
      <c r="D43" s="10">
        <f t="shared" si="1"/>
        <v>0.26763201599347469</v>
      </c>
      <c r="E43" s="11">
        <f t="shared" si="2"/>
        <v>10.267632015993474</v>
      </c>
      <c r="F43" s="13">
        <f t="shared" si="3"/>
        <v>1.6949152542372881E-2</v>
      </c>
      <c r="G43" s="14">
        <f t="shared" si="4"/>
        <v>4.5361358642961808E-3</v>
      </c>
      <c r="H43" s="9">
        <f t="shared" si="5"/>
        <v>1.1537520374524926E-3</v>
      </c>
    </row>
    <row r="44" spans="1:8">
      <c r="A44" s="2">
        <v>44567</v>
      </c>
      <c r="B44" s="1">
        <f>'Adani Total Gas Stock Price His'!B46</f>
        <v>2392.9</v>
      </c>
      <c r="C44" s="10">
        <f t="shared" si="0"/>
        <v>-2.0851578464489763E-3</v>
      </c>
      <c r="D44" s="10">
        <f t="shared" si="1"/>
        <v>-2.0873348148128705E-3</v>
      </c>
      <c r="E44" s="11">
        <f t="shared" si="2"/>
        <v>9.9979126651851864</v>
      </c>
      <c r="F44" s="13">
        <f t="shared" si="3"/>
        <v>1.6949152542372881E-2</v>
      </c>
      <c r="G44" s="14">
        <f t="shared" si="4"/>
        <v>-3.5378556183268995E-5</v>
      </c>
      <c r="H44" s="9">
        <f t="shared" si="5"/>
        <v>1.3168547346590068E-6</v>
      </c>
    </row>
    <row r="45" spans="1:8">
      <c r="A45" s="2">
        <v>44566</v>
      </c>
      <c r="B45" s="1">
        <f>'Adani Total Gas Stock Price His'!B47</f>
        <v>2397.9</v>
      </c>
      <c r="C45" s="10">
        <f t="shared" si="0"/>
        <v>-2.1644668393887973E-2</v>
      </c>
      <c r="D45" s="10">
        <f t="shared" si="1"/>
        <v>-2.1882350183148647E-2</v>
      </c>
      <c r="E45" s="11">
        <f t="shared" si="2"/>
        <v>9.978117649816852</v>
      </c>
      <c r="F45" s="13">
        <f t="shared" si="3"/>
        <v>1.6949152542372881E-2</v>
      </c>
      <c r="G45" s="14">
        <f t="shared" si="4"/>
        <v>-3.7088729123980758E-4</v>
      </c>
      <c r="H45" s="9">
        <f t="shared" si="5"/>
        <v>1.3872901455046953E-5</v>
      </c>
    </row>
    <row r="46" spans="1:8">
      <c r="A46" s="2">
        <v>44565</v>
      </c>
      <c r="B46" s="1">
        <f>'Adani Total Gas Stock Price His'!B48</f>
        <v>2450.9499999999998</v>
      </c>
      <c r="C46" s="10">
        <f t="shared" si="0"/>
        <v>0.14008279839985097</v>
      </c>
      <c r="D46" s="10">
        <f t="shared" si="1"/>
        <v>0.13110088994426847</v>
      </c>
      <c r="E46" s="11">
        <f t="shared" si="2"/>
        <v>10.131100889944268</v>
      </c>
      <c r="F46" s="13">
        <f t="shared" si="3"/>
        <v>1.6949152542372881E-2</v>
      </c>
      <c r="G46" s="14">
        <f t="shared" si="4"/>
        <v>2.2220489821062452E-3</v>
      </c>
      <c r="H46" s="9">
        <f t="shared" si="5"/>
        <v>2.6218368222358392E-4</v>
      </c>
    </row>
    <row r="47" spans="1:8">
      <c r="A47" s="2">
        <v>44564</v>
      </c>
      <c r="B47" s="1">
        <f>'Adani Total Gas Stock Price His'!B49</f>
        <v>2149.8000000000002</v>
      </c>
      <c r="C47" s="10">
        <f t="shared" si="0"/>
        <v>0.35335221907459879</v>
      </c>
      <c r="D47" s="10">
        <f t="shared" si="1"/>
        <v>0.30258463982939238</v>
      </c>
      <c r="E47" s="11">
        <f t="shared" si="2"/>
        <v>10.302584639829393</v>
      </c>
      <c r="F47" s="13">
        <f t="shared" si="3"/>
        <v>1.6949152542372881E-2</v>
      </c>
      <c r="G47" s="14">
        <f t="shared" si="4"/>
        <v>5.1285532174473285E-3</v>
      </c>
      <c r="H47" s="9">
        <f t="shared" si="5"/>
        <v>1.4835877665575991E-3</v>
      </c>
    </row>
    <row r="48" spans="1:8">
      <c r="A48" s="2">
        <v>44563</v>
      </c>
      <c r="B48" s="1">
        <f>'Adani Total Gas Stock Price His'!B50</f>
        <v>1588.5</v>
      </c>
      <c r="C48" s="10">
        <f t="shared" si="0"/>
        <v>-0.12779684282772821</v>
      </c>
      <c r="D48" s="10">
        <f t="shared" si="1"/>
        <v>-0.13673290379984371</v>
      </c>
      <c r="E48" s="11">
        <f t="shared" si="2"/>
        <v>9.8632670962001558</v>
      </c>
      <c r="F48" s="13">
        <f t="shared" si="3"/>
        <v>1.6949152542372881E-2</v>
      </c>
      <c r="G48" s="14">
        <f t="shared" si="4"/>
        <v>-2.3175068440651476E-3</v>
      </c>
      <c r="H48" s="9">
        <f t="shared" si="5"/>
        <v>3.4882670217724598E-4</v>
      </c>
    </row>
    <row r="49" spans="1:8">
      <c r="A49" s="2">
        <v>44562</v>
      </c>
      <c r="B49" s="1">
        <f>'Adani Total Gas Stock Price His'!B51</f>
        <v>1821.25</v>
      </c>
      <c r="C49" s="10">
        <f t="shared" si="0"/>
        <v>5.7759321640144065E-2</v>
      </c>
      <c r="D49" s="10">
        <f t="shared" si="1"/>
        <v>5.6152823285560267E-2</v>
      </c>
      <c r="E49" s="11">
        <f t="shared" si="2"/>
        <v>10.05615282328556</v>
      </c>
      <c r="F49" s="13">
        <f t="shared" si="3"/>
        <v>1.6949152542372881E-2</v>
      </c>
      <c r="G49" s="14">
        <f t="shared" si="4"/>
        <v>9.5174276755186896E-4</v>
      </c>
      <c r="H49" s="9">
        <f t="shared" si="5"/>
        <v>4.1405104727410162E-5</v>
      </c>
    </row>
    <row r="50" spans="1:8">
      <c r="A50" s="2">
        <v>44208</v>
      </c>
      <c r="B50" s="1">
        <f>'Adani Total Gas Stock Price His'!B52</f>
        <v>1721.8</v>
      </c>
      <c r="C50" s="10">
        <f t="shared" si="0"/>
        <v>7.6225896177766692E-2</v>
      </c>
      <c r="D50" s="10">
        <f t="shared" si="1"/>
        <v>7.3460380390787561E-2</v>
      </c>
      <c r="E50" s="11">
        <f t="shared" si="2"/>
        <v>10.073460380390788</v>
      </c>
      <c r="F50" s="13">
        <f t="shared" si="3"/>
        <v>1.6949152542372881E-2</v>
      </c>
      <c r="G50" s="14">
        <f t="shared" si="4"/>
        <v>1.245091193064196E-3</v>
      </c>
      <c r="H50" s="9">
        <f t="shared" si="5"/>
        <v>7.5480159965836383E-5</v>
      </c>
    </row>
    <row r="51" spans="1:8">
      <c r="A51" s="2">
        <v>44207</v>
      </c>
      <c r="B51" s="1">
        <f>'Adani Total Gas Stock Price His'!B53</f>
        <v>1599.85</v>
      </c>
      <c r="C51" s="10">
        <f t="shared" si="0"/>
        <v>0.11143144951196628</v>
      </c>
      <c r="D51" s="10">
        <f t="shared" si="1"/>
        <v>0.10564877866682235</v>
      </c>
      <c r="E51" s="11">
        <f t="shared" si="2"/>
        <v>10.105648778666822</v>
      </c>
      <c r="F51" s="13">
        <f t="shared" si="3"/>
        <v>1.6949152542372881E-2</v>
      </c>
      <c r="G51" s="14">
        <f t="shared" si="4"/>
        <v>1.7906572655393617E-3</v>
      </c>
      <c r="H51" s="9">
        <f t="shared" si="5"/>
        <v>1.6585587495176785E-4</v>
      </c>
    </row>
    <row r="52" spans="1:8">
      <c r="A52" s="2">
        <v>44206</v>
      </c>
      <c r="B52" s="1">
        <f>'Adani Total Gas Stock Price His'!B54</f>
        <v>1439.45</v>
      </c>
      <c r="C52" s="10">
        <f t="shared" si="0"/>
        <v>1.145346590310224E-2</v>
      </c>
      <c r="D52" s="10">
        <f t="shared" si="1"/>
        <v>1.1388371528449022E-2</v>
      </c>
      <c r="E52" s="11">
        <f t="shared" si="2"/>
        <v>10.011388371528449</v>
      </c>
      <c r="F52" s="13">
        <f t="shared" si="3"/>
        <v>1.6949152542372881E-2</v>
      </c>
      <c r="G52" s="14">
        <f t="shared" si="4"/>
        <v>1.9302324624489867E-4</v>
      </c>
      <c r="H52" s="9">
        <f t="shared" si="5"/>
        <v>3.6826039479344524E-7</v>
      </c>
    </row>
    <row r="53" spans="1:8">
      <c r="A53" s="2">
        <v>44205</v>
      </c>
      <c r="B53" s="1">
        <f>'Adani Total Gas Stock Price His'!B55</f>
        <v>1423.15</v>
      </c>
      <c r="C53" s="10">
        <f t="shared" si="0"/>
        <v>-2.0206540447504241E-2</v>
      </c>
      <c r="D53" s="10">
        <f t="shared" si="1"/>
        <v>-2.0413485088270945E-2</v>
      </c>
      <c r="E53" s="11">
        <f t="shared" si="2"/>
        <v>9.9795865149117287</v>
      </c>
      <c r="F53" s="13">
        <f t="shared" si="3"/>
        <v>1.6949152542372881E-2</v>
      </c>
      <c r="G53" s="14">
        <f t="shared" si="4"/>
        <v>-3.4599127268255837E-4</v>
      </c>
      <c r="H53" s="9">
        <f t="shared" si="5"/>
        <v>1.2484947067174663E-5</v>
      </c>
    </row>
    <row r="54" spans="1:8">
      <c r="A54" s="2">
        <v>44204</v>
      </c>
      <c r="B54" s="1">
        <f>'Adani Total Gas Stock Price His'!B56</f>
        <v>1452.5</v>
      </c>
      <c r="C54" s="10">
        <f t="shared" si="0"/>
        <v>0.6273598117752508</v>
      </c>
      <c r="D54" s="10">
        <f t="shared" si="1"/>
        <v>0.48695895423250518</v>
      </c>
      <c r="E54" s="11">
        <f t="shared" si="2"/>
        <v>10.486958954232506</v>
      </c>
      <c r="F54" s="13">
        <f t="shared" si="3"/>
        <v>1.6949152542372881E-2</v>
      </c>
      <c r="G54" s="14">
        <f t="shared" si="4"/>
        <v>8.2535415971611049E-3</v>
      </c>
      <c r="H54" s="9">
        <f t="shared" si="5"/>
        <v>3.9088580449738054E-3</v>
      </c>
    </row>
    <row r="55" spans="1:8">
      <c r="A55" s="2">
        <v>44203</v>
      </c>
      <c r="B55" s="1">
        <f>'Adani Total Gas Stock Price His'!B57</f>
        <v>892.55</v>
      </c>
      <c r="C55" s="10">
        <f t="shared" si="0"/>
        <v>-0.12482227778594898</v>
      </c>
      <c r="D55" s="10">
        <f t="shared" si="1"/>
        <v>-0.13332830214701727</v>
      </c>
      <c r="E55" s="11">
        <f t="shared" si="2"/>
        <v>9.8666716978529827</v>
      </c>
      <c r="F55" s="13">
        <f t="shared" si="3"/>
        <v>1.6949152542372881E-2</v>
      </c>
      <c r="G55" s="14">
        <f t="shared" si="4"/>
        <v>-2.2598017313053775E-3</v>
      </c>
      <c r="H55" s="9">
        <f t="shared" si="5"/>
        <v>3.3246641260653879E-4</v>
      </c>
    </row>
    <row r="56" spans="1:8">
      <c r="A56" s="2">
        <v>44202</v>
      </c>
      <c r="B56" s="1">
        <f>'Adani Total Gas Stock Price His'!B58</f>
        <v>1019.85</v>
      </c>
      <c r="C56" s="10">
        <f t="shared" si="0"/>
        <v>-0.24391148014975714</v>
      </c>
      <c r="D56" s="10">
        <f t="shared" si="1"/>
        <v>-0.27959681990807522</v>
      </c>
      <c r="E56" s="11">
        <f t="shared" si="2"/>
        <v>9.7204031800919246</v>
      </c>
      <c r="F56" s="13">
        <f t="shared" si="3"/>
        <v>1.6949152542372881E-2</v>
      </c>
      <c r="G56" s="14">
        <f t="shared" si="4"/>
        <v>-4.738929150984326E-3</v>
      </c>
      <c r="H56" s="9">
        <f t="shared" si="5"/>
        <v>1.3895151284162878E-3</v>
      </c>
    </row>
    <row r="57" spans="1:8">
      <c r="A57" s="2">
        <v>44201</v>
      </c>
      <c r="B57" s="1">
        <f>'Adani Total Gas Stock Price His'!B59</f>
        <v>1348.85</v>
      </c>
      <c r="C57" s="10">
        <f t="shared" si="0"/>
        <v>0.17214859873995211</v>
      </c>
      <c r="D57" s="10">
        <f t="shared" si="1"/>
        <v>0.15883847385130262</v>
      </c>
      <c r="E57" s="11">
        <f t="shared" si="2"/>
        <v>10.158838473851302</v>
      </c>
      <c r="F57" s="13">
        <f t="shared" si="3"/>
        <v>1.6949152542372881E-2</v>
      </c>
      <c r="G57" s="14">
        <f t="shared" si="4"/>
        <v>2.6921775229034341E-3</v>
      </c>
      <c r="H57" s="9">
        <f t="shared" si="5"/>
        <v>3.9216723985757267E-4</v>
      </c>
    </row>
    <row r="58" spans="1:8">
      <c r="A58" s="2">
        <v>44200</v>
      </c>
      <c r="B58" s="1">
        <f>'Adani Total Gas Stock Price His'!B60</f>
        <v>1150.75</v>
      </c>
      <c r="C58" s="10">
        <f t="shared" si="0"/>
        <v>0.19713914174252276</v>
      </c>
      <c r="D58" s="10">
        <f t="shared" si="1"/>
        <v>0.1799346618774971</v>
      </c>
      <c r="E58" s="11">
        <f t="shared" si="2"/>
        <v>10.179934661877498</v>
      </c>
      <c r="F58" s="13">
        <f t="shared" si="3"/>
        <v>1.6949152542372881E-2</v>
      </c>
      <c r="G58" s="14">
        <f t="shared" si="4"/>
        <v>3.0497400318219847E-3</v>
      </c>
      <c r="H58" s="9">
        <f t="shared" si="5"/>
        <v>5.0848908789071629E-4</v>
      </c>
    </row>
    <row r="59" spans="1:8">
      <c r="A59" s="2">
        <v>44199</v>
      </c>
      <c r="B59" s="1">
        <f>'Adani Total Gas Stock Price His'!B61</f>
        <v>961.25</v>
      </c>
      <c r="C59" s="10">
        <f t="shared" si="0"/>
        <v>0.87670831706364682</v>
      </c>
      <c r="D59" s="10">
        <f t="shared" si="1"/>
        <v>0.6295193470544288</v>
      </c>
      <c r="E59" s="11">
        <f t="shared" si="2"/>
        <v>10.629519347054428</v>
      </c>
      <c r="F59" s="13">
        <f t="shared" si="3"/>
        <v>1.6949152542372881E-2</v>
      </c>
      <c r="G59" s="14">
        <f t="shared" si="4"/>
        <v>1.0669819441600488E-2</v>
      </c>
      <c r="H59" s="9">
        <f t="shared" si="5"/>
        <v>6.5740706966768408E-3</v>
      </c>
    </row>
    <row r="60" spans="1:8">
      <c r="A60" s="2">
        <v>44198</v>
      </c>
      <c r="B60" s="1">
        <f>'Adani Total Gas Stock Price His'!B62</f>
        <v>512.20000000000005</v>
      </c>
      <c r="C60" s="10">
        <f t="shared" si="0"/>
        <v>0.34418055373310597</v>
      </c>
      <c r="D60" s="10">
        <f t="shared" si="1"/>
        <v>0.29578457365329847</v>
      </c>
      <c r="E60" s="11">
        <f t="shared" si="2"/>
        <v>10.295784573653298</v>
      </c>
      <c r="F60" s="13">
        <f t="shared" si="3"/>
        <v>1.6949152542372881E-2</v>
      </c>
      <c r="G60" s="14">
        <f t="shared" si="4"/>
        <v>5.0132978585304827E-3</v>
      </c>
      <c r="H60" s="9">
        <f t="shared" si="5"/>
        <v>1.4161731789426671E-3</v>
      </c>
    </row>
    <row r="61" spans="1:8">
      <c r="A61" s="2">
        <v>44197</v>
      </c>
      <c r="B61" s="1">
        <f>'Adani Total Gas Stock Price His'!B63</f>
        <v>381.05</v>
      </c>
      <c r="C61" s="10"/>
      <c r="D61" s="10"/>
    </row>
    <row r="63" spans="1:8">
      <c r="A63" s="1" t="s">
        <v>148</v>
      </c>
      <c r="B63" s="1">
        <f>COUNT(B2:B61)</f>
        <v>60</v>
      </c>
      <c r="C63" s="1">
        <f>COUNT(C2:C61)</f>
        <v>59</v>
      </c>
      <c r="D63" s="1">
        <f>COUNT(D2:D61)</f>
        <v>59</v>
      </c>
    </row>
    <row r="64" spans="1:8">
      <c r="A64" s="1">
        <v>1</v>
      </c>
      <c r="B64" s="1" t="s">
        <v>145</v>
      </c>
      <c r="C64" s="10">
        <f>AVEDEV(C2:C60)</f>
        <v>0.14819556058260663</v>
      </c>
      <c r="D64" s="10">
        <f>AVEDEV(D2:D60)</f>
        <v>0.14363624855633114</v>
      </c>
    </row>
    <row r="65" spans="1:9">
      <c r="A65" s="1">
        <v>2</v>
      </c>
      <c r="B65" s="1" t="s">
        <v>146</v>
      </c>
      <c r="C65" s="9">
        <f>GEOMEAN(E2:E60)</f>
        <v>10.003865646868435</v>
      </c>
      <c r="D65" s="12">
        <f>C65-10</f>
        <v>3.8656468684354905E-3</v>
      </c>
    </row>
    <row r="66" spans="1:9">
      <c r="A66" s="1">
        <v>3</v>
      </c>
      <c r="B66" s="1" t="s">
        <v>149</v>
      </c>
      <c r="C66" s="1" t="s">
        <v>150</v>
      </c>
      <c r="G66" s="14">
        <f>SUM(G2:G60)</f>
        <v>6.7271095434482571E-3</v>
      </c>
    </row>
    <row r="67" spans="1:9">
      <c r="A67" s="1">
        <v>4</v>
      </c>
      <c r="B67" t="s">
        <v>157</v>
      </c>
      <c r="G67" s="12"/>
      <c r="H67" s="14">
        <f>SUM(H2:H60)</f>
        <v>5.5664733898945523E-2</v>
      </c>
    </row>
    <row r="68" spans="1:9">
      <c r="A68" s="1">
        <v>5</v>
      </c>
      <c r="B68" s="16" t="s">
        <v>154</v>
      </c>
      <c r="C68" s="1" t="s">
        <v>155</v>
      </c>
      <c r="H68" s="12">
        <f>SQRT(H67)</f>
        <v>0.23593374896132499</v>
      </c>
      <c r="I68" s="12">
        <f>H68*SQRT(12)</f>
        <v>0.8172984808424314</v>
      </c>
    </row>
    <row r="69" spans="1:9">
      <c r="A69" s="1">
        <v>6</v>
      </c>
      <c r="B69" s="1" t="s">
        <v>156</v>
      </c>
      <c r="C69" s="15" t="e">
        <f>_xlfn.COVARIANCE.S(#REF!,#REF!)</f>
        <v>#REF!</v>
      </c>
    </row>
    <row r="72" spans="1:9">
      <c r="A72" t="s">
        <v>158</v>
      </c>
      <c r="B72"/>
    </row>
    <row r="73" spans="1:9">
      <c r="A73" s="18">
        <v>46030</v>
      </c>
      <c r="B73">
        <f>B2*(1+D65)</f>
        <v>568.89066208034239</v>
      </c>
      <c r="C73">
        <f>B2*(1+D64)</f>
        <v>648.09866205687297</v>
      </c>
    </row>
    <row r="74" spans="1:9">
      <c r="A74"/>
      <c r="B74"/>
    </row>
    <row r="75" spans="1:9">
      <c r="A75" t="s">
        <v>159</v>
      </c>
      <c r="B75"/>
    </row>
    <row r="76" spans="1:9">
      <c r="A76" s="18">
        <v>46030</v>
      </c>
      <c r="B76">
        <f>(B2*(1+G66))</f>
        <v>570.51225297827216</v>
      </c>
    </row>
    <row r="77" spans="1:9">
      <c r="A77"/>
      <c r="B77" s="17">
        <f>B76*H68</f>
        <v>134.60309467353559</v>
      </c>
    </row>
    <row r="78" spans="1:9">
      <c r="A78"/>
      <c r="B78" s="17">
        <f>B76-B77</f>
        <v>435.90915830473659</v>
      </c>
    </row>
    <row r="79" spans="1:9">
      <c r="A79" t="s">
        <v>160</v>
      </c>
      <c r="B79" t="s">
        <v>161</v>
      </c>
    </row>
    <row r="81" spans="2:2">
      <c r="B81" s="19"/>
    </row>
    <row r="82" spans="2:2">
      <c r="B82" s="1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90AB3-579C-4382-8C2E-61B1CF00DF03}">
  <dimension ref="B2:F11"/>
  <sheetViews>
    <sheetView showGridLines="0" workbookViewId="0">
      <selection activeCell="E22" sqref="E22"/>
    </sheetView>
  </sheetViews>
  <sheetFormatPr defaultRowHeight="13.8"/>
  <cols>
    <col min="2" max="2" width="14.5" customWidth="1"/>
    <col min="5" max="5" width="12.1640625" customWidth="1"/>
  </cols>
  <sheetData>
    <row r="2" spans="2:6" ht="14.4">
      <c r="B2" s="45" t="s">
        <v>122</v>
      </c>
      <c r="C2" s="45" t="s">
        <v>123</v>
      </c>
      <c r="D2" s="45" t="s">
        <v>124</v>
      </c>
      <c r="E2" s="45" t="s">
        <v>125</v>
      </c>
      <c r="F2" s="45" t="s">
        <v>126</v>
      </c>
    </row>
    <row r="3" spans="2:6" ht="14.4">
      <c r="B3" s="46" t="s">
        <v>127</v>
      </c>
      <c r="C3" s="47">
        <v>0.25</v>
      </c>
      <c r="D3" s="48" t="s">
        <v>128</v>
      </c>
      <c r="E3" s="47" t="s">
        <v>129</v>
      </c>
      <c r="F3" s="49">
        <v>4.0000000000000002E-4</v>
      </c>
    </row>
    <row r="4" spans="2:6" ht="14.4">
      <c r="B4" s="46" t="s">
        <v>130</v>
      </c>
      <c r="C4" s="47">
        <v>0.25</v>
      </c>
      <c r="D4" s="48" t="s">
        <v>128</v>
      </c>
      <c r="E4" s="47" t="s">
        <v>131</v>
      </c>
      <c r="F4" s="49">
        <v>2.9999999999999997E-4</v>
      </c>
    </row>
    <row r="5" spans="2:6" ht="14.4">
      <c r="B5" s="46" t="s">
        <v>132</v>
      </c>
      <c r="C5" s="47">
        <v>0.25</v>
      </c>
      <c r="D5" s="48" t="s">
        <v>128</v>
      </c>
      <c r="E5" s="47" t="s">
        <v>133</v>
      </c>
      <c r="F5" s="49">
        <v>4.0000000000000002E-4</v>
      </c>
    </row>
    <row r="6" spans="2:6" ht="14.4">
      <c r="B6" s="46" t="s">
        <v>134</v>
      </c>
      <c r="C6" s="47">
        <v>0.25</v>
      </c>
      <c r="D6" s="48" t="s">
        <v>128</v>
      </c>
      <c r="E6" s="47" t="s">
        <v>135</v>
      </c>
      <c r="F6" s="49">
        <v>1E-4</v>
      </c>
    </row>
    <row r="7" spans="2:6" ht="14.4">
      <c r="B7" s="46" t="s">
        <v>136</v>
      </c>
      <c r="C7" s="47">
        <v>0.25</v>
      </c>
      <c r="D7" s="48" t="s">
        <v>128</v>
      </c>
      <c r="E7" s="47" t="s">
        <v>137</v>
      </c>
      <c r="F7" s="49">
        <v>2.0000000000000001E-4</v>
      </c>
    </row>
    <row r="8" spans="2:6" ht="14.4">
      <c r="B8" s="46" t="s">
        <v>138</v>
      </c>
      <c r="C8" s="47">
        <v>0.25</v>
      </c>
      <c r="D8" s="48" t="s">
        <v>139</v>
      </c>
      <c r="E8" s="47" t="s">
        <v>140</v>
      </c>
      <c r="F8" s="49">
        <v>5.8999999999999999E-3</v>
      </c>
    </row>
    <row r="9" spans="2:6" ht="14.4">
      <c r="B9" s="46" t="s">
        <v>141</v>
      </c>
      <c r="C9" s="47">
        <v>0.25</v>
      </c>
      <c r="D9" s="48" t="s">
        <v>128</v>
      </c>
      <c r="E9" s="47" t="s">
        <v>142</v>
      </c>
      <c r="F9" s="49">
        <v>1.6000000000000001E-3</v>
      </c>
    </row>
    <row r="11" spans="2:6">
      <c r="B11" t="s">
        <v>236</v>
      </c>
      <c r="C11">
        <f>GEOMEAN(Table2[Dividend])</f>
        <v>0.25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70AB0-3F28-4BAD-860F-909B28A83703}">
  <dimension ref="A1:J63"/>
  <sheetViews>
    <sheetView workbookViewId="0">
      <selection activeCell="K2" sqref="K2"/>
    </sheetView>
  </sheetViews>
  <sheetFormatPr defaultRowHeight="13.8"/>
  <cols>
    <col min="1" max="8" width="8.6640625" style="1"/>
    <col min="9" max="10" width="11.33203125" style="1" bestFit="1" customWidth="1"/>
    <col min="11" max="16384" width="8.6640625" style="1"/>
  </cols>
  <sheetData>
    <row r="1" spans="1:10" s="5" customFormat="1" ht="14.4">
      <c r="A1" s="5" t="s">
        <v>277</v>
      </c>
      <c r="B1" s="26"/>
      <c r="C1" s="5" t="s">
        <v>276</v>
      </c>
    </row>
    <row r="2" spans="1:10" s="5" customFormat="1" ht="14.4">
      <c r="A2" s="5" t="s">
        <v>278</v>
      </c>
      <c r="C2" s="117">
        <v>46027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I3" s="1" t="s">
        <v>258</v>
      </c>
      <c r="J3" s="1" t="s">
        <v>258</v>
      </c>
    </row>
    <row r="4" spans="1:10">
      <c r="A4" s="2">
        <v>45669</v>
      </c>
      <c r="B4" s="1">
        <v>566.70000000000005</v>
      </c>
      <c r="C4" s="1">
        <v>609.04999999999995</v>
      </c>
      <c r="D4" s="1">
        <v>610.9</v>
      </c>
      <c r="E4" s="1">
        <v>561</v>
      </c>
      <c r="F4" s="1" t="s">
        <v>7</v>
      </c>
      <c r="G4" s="3">
        <v>-6.59E-2</v>
      </c>
      <c r="I4" s="1" t="str">
        <f>_xlfn.TEXTBEFORE(F4,"M")</f>
        <v>8.51</v>
      </c>
      <c r="J4" s="1">
        <f>I4*1000000</f>
        <v>8510000</v>
      </c>
    </row>
    <row r="5" spans="1:10">
      <c r="A5" s="2">
        <v>45668</v>
      </c>
      <c r="B5" s="1">
        <v>606.65</v>
      </c>
      <c r="C5" s="1">
        <v>631.6</v>
      </c>
      <c r="D5" s="1">
        <v>634.9</v>
      </c>
      <c r="E5" s="1">
        <v>599.04999999999995</v>
      </c>
      <c r="F5" s="1" t="s">
        <v>8</v>
      </c>
      <c r="G5" s="3">
        <v>-3.95E-2</v>
      </c>
      <c r="I5" s="1" t="str">
        <f t="shared" ref="I5:I63" si="0">_xlfn.TEXTBEFORE(F5,"M")</f>
        <v>9.69</v>
      </c>
      <c r="J5" s="1">
        <f t="shared" ref="J5:J63" si="1">I5*1000000</f>
        <v>9690000</v>
      </c>
    </row>
    <row r="6" spans="1:10">
      <c r="A6" s="2">
        <v>45667</v>
      </c>
      <c r="B6" s="1">
        <v>631.6</v>
      </c>
      <c r="C6" s="1">
        <v>630.04999999999995</v>
      </c>
      <c r="D6" s="1">
        <v>675</v>
      </c>
      <c r="E6" s="1">
        <v>613.54999999999995</v>
      </c>
      <c r="F6" s="1" t="s">
        <v>9</v>
      </c>
      <c r="G6" s="3">
        <v>1.01E-2</v>
      </c>
      <c r="I6" s="1" t="str">
        <f t="shared" si="0"/>
        <v>25.15</v>
      </c>
      <c r="J6" s="1">
        <f t="shared" si="1"/>
        <v>25150000</v>
      </c>
    </row>
    <row r="7" spans="1:10">
      <c r="A7" s="2">
        <v>45666</v>
      </c>
      <c r="B7" s="1">
        <v>625.29999999999995</v>
      </c>
      <c r="C7" s="1">
        <v>593.9</v>
      </c>
      <c r="D7" s="1">
        <v>798</v>
      </c>
      <c r="E7" s="1">
        <v>588.20000000000005</v>
      </c>
      <c r="F7" s="1" t="s">
        <v>10</v>
      </c>
      <c r="G7" s="3">
        <v>5.79E-2</v>
      </c>
      <c r="I7" s="1" t="str">
        <f t="shared" si="0"/>
        <v>97.48</v>
      </c>
      <c r="J7" s="1">
        <f t="shared" si="1"/>
        <v>97480000</v>
      </c>
    </row>
    <row r="8" spans="1:10">
      <c r="A8" s="2">
        <v>45665</v>
      </c>
      <c r="B8" s="1">
        <v>591.1</v>
      </c>
      <c r="C8" s="1">
        <v>617</v>
      </c>
      <c r="D8" s="1">
        <v>644.5</v>
      </c>
      <c r="E8" s="1">
        <v>577.1</v>
      </c>
      <c r="F8" s="1" t="s">
        <v>11</v>
      </c>
      <c r="G8" s="3">
        <v>-2.1499999999999998E-2</v>
      </c>
      <c r="I8" s="1" t="str">
        <f t="shared" si="0"/>
        <v>13.65</v>
      </c>
      <c r="J8" s="1">
        <f t="shared" si="1"/>
        <v>13650000</v>
      </c>
    </row>
    <row r="9" spans="1:10">
      <c r="A9" s="2">
        <v>45664</v>
      </c>
      <c r="B9" s="1">
        <v>604.1</v>
      </c>
      <c r="C9" s="1">
        <v>677</v>
      </c>
      <c r="D9" s="1">
        <v>684</v>
      </c>
      <c r="E9" s="1">
        <v>602.45000000000005</v>
      </c>
      <c r="F9" s="1" t="s">
        <v>12</v>
      </c>
      <c r="G9" s="3">
        <v>-0.106</v>
      </c>
      <c r="I9" s="1" t="str">
        <f t="shared" si="0"/>
        <v>12.98</v>
      </c>
      <c r="J9" s="1">
        <f t="shared" si="1"/>
        <v>12980000</v>
      </c>
    </row>
    <row r="10" spans="1:10">
      <c r="A10" s="2">
        <v>45663</v>
      </c>
      <c r="B10" s="1">
        <v>675.75</v>
      </c>
      <c r="C10" s="1">
        <v>685</v>
      </c>
      <c r="D10" s="1">
        <v>721</v>
      </c>
      <c r="E10" s="1">
        <v>608.15</v>
      </c>
      <c r="F10" s="1" t="s">
        <v>13</v>
      </c>
      <c r="G10" s="3">
        <v>-1.17E-2</v>
      </c>
      <c r="I10" s="1" t="str">
        <f t="shared" si="0"/>
        <v>38.14</v>
      </c>
      <c r="J10" s="1">
        <f t="shared" si="1"/>
        <v>38140000</v>
      </c>
    </row>
    <row r="11" spans="1:10">
      <c r="A11" s="2">
        <v>45662</v>
      </c>
      <c r="B11" s="1">
        <v>683.75</v>
      </c>
      <c r="C11" s="1">
        <v>599</v>
      </c>
      <c r="D11" s="1">
        <v>693</v>
      </c>
      <c r="E11" s="1">
        <v>587.1</v>
      </c>
      <c r="F11" s="1" t="s">
        <v>14</v>
      </c>
      <c r="G11" s="3">
        <v>0.13919999999999999</v>
      </c>
      <c r="I11" s="1" t="str">
        <f t="shared" si="0"/>
        <v>40.22</v>
      </c>
      <c r="J11" s="1">
        <f t="shared" si="1"/>
        <v>40220000</v>
      </c>
    </row>
    <row r="12" spans="1:10">
      <c r="A12" s="2">
        <v>45661</v>
      </c>
      <c r="B12" s="1">
        <v>600.20000000000005</v>
      </c>
      <c r="C12" s="1">
        <v>599.04999999999995</v>
      </c>
      <c r="D12" s="1">
        <v>634</v>
      </c>
      <c r="E12" s="1">
        <v>545.5</v>
      </c>
      <c r="F12" s="1" t="s">
        <v>15</v>
      </c>
      <c r="G12" s="3">
        <v>-4.0000000000000001E-3</v>
      </c>
      <c r="I12" s="1" t="str">
        <f t="shared" si="0"/>
        <v>15.13</v>
      </c>
      <c r="J12" s="1">
        <f t="shared" si="1"/>
        <v>15130000</v>
      </c>
    </row>
    <row r="13" spans="1:10">
      <c r="A13" s="2">
        <v>45660</v>
      </c>
      <c r="B13" s="1">
        <v>602.6</v>
      </c>
      <c r="C13" s="1">
        <v>559.4</v>
      </c>
      <c r="D13" s="1">
        <v>641.9</v>
      </c>
      <c r="E13" s="1">
        <v>532.6</v>
      </c>
      <c r="F13" s="1" t="s">
        <v>16</v>
      </c>
      <c r="G13" s="3">
        <v>8.1600000000000006E-2</v>
      </c>
      <c r="I13" s="1" t="str">
        <f t="shared" si="0"/>
        <v>25.54</v>
      </c>
      <c r="J13" s="1">
        <f t="shared" si="1"/>
        <v>25540000</v>
      </c>
    </row>
    <row r="14" spans="1:10">
      <c r="A14" s="2">
        <v>45659</v>
      </c>
      <c r="B14" s="1">
        <v>557.15</v>
      </c>
      <c r="C14" s="1">
        <v>647.5</v>
      </c>
      <c r="D14" s="1">
        <v>654.4</v>
      </c>
      <c r="E14" s="1">
        <v>555</v>
      </c>
      <c r="F14" s="1" t="s">
        <v>17</v>
      </c>
      <c r="G14" s="3">
        <v>-0.1336</v>
      </c>
      <c r="I14" s="1" t="str">
        <f t="shared" si="0"/>
        <v>13.70</v>
      </c>
      <c r="J14" s="1">
        <f t="shared" si="1"/>
        <v>13700000</v>
      </c>
    </row>
    <row r="15" spans="1:10">
      <c r="A15" s="2">
        <v>45658</v>
      </c>
      <c r="B15" s="1">
        <v>643.1</v>
      </c>
      <c r="C15" s="1">
        <v>751</v>
      </c>
      <c r="D15" s="1">
        <v>766.6</v>
      </c>
      <c r="E15" s="1">
        <v>607.4</v>
      </c>
      <c r="F15" s="1" t="s">
        <v>18</v>
      </c>
      <c r="G15" s="3">
        <v>-0.155</v>
      </c>
      <c r="I15" s="1" t="str">
        <f t="shared" si="0"/>
        <v>35.32</v>
      </c>
      <c r="J15" s="1">
        <f t="shared" si="1"/>
        <v>35320000</v>
      </c>
    </row>
    <row r="16" spans="1:10">
      <c r="A16" s="2">
        <v>45303</v>
      </c>
      <c r="B16" s="1">
        <v>761.05</v>
      </c>
      <c r="C16" s="1">
        <v>812</v>
      </c>
      <c r="D16" s="1">
        <v>815.3</v>
      </c>
      <c r="E16" s="1">
        <v>665.25</v>
      </c>
      <c r="F16" s="1" t="s">
        <v>19</v>
      </c>
      <c r="G16" s="3">
        <v>-6.3200000000000006E-2</v>
      </c>
      <c r="I16" s="1" t="str">
        <f t="shared" si="0"/>
        <v>37.42</v>
      </c>
      <c r="J16" s="1">
        <f t="shared" si="1"/>
        <v>37420000</v>
      </c>
    </row>
    <row r="17" spans="1:10">
      <c r="A17" s="2">
        <v>45302</v>
      </c>
      <c r="B17" s="1">
        <v>812.35</v>
      </c>
      <c r="C17" s="1">
        <v>721.8</v>
      </c>
      <c r="D17" s="1">
        <v>862</v>
      </c>
      <c r="E17" s="1">
        <v>545.75</v>
      </c>
      <c r="F17" s="1" t="s">
        <v>20</v>
      </c>
      <c r="G17" s="3">
        <v>0.13089999999999999</v>
      </c>
      <c r="I17" s="1" t="str">
        <f t="shared" si="0"/>
        <v>73.23</v>
      </c>
      <c r="J17" s="1">
        <f t="shared" si="1"/>
        <v>73230000</v>
      </c>
    </row>
    <row r="18" spans="1:10">
      <c r="A18" s="2">
        <v>45301</v>
      </c>
      <c r="B18" s="1">
        <v>718.35</v>
      </c>
      <c r="C18" s="1">
        <v>784.05</v>
      </c>
      <c r="D18" s="1">
        <v>794.35</v>
      </c>
      <c r="E18" s="1">
        <v>682.25</v>
      </c>
      <c r="F18" s="1" t="s">
        <v>21</v>
      </c>
      <c r="G18" s="3">
        <v>-8.6599999999999996E-2</v>
      </c>
      <c r="I18" s="1" t="str">
        <f t="shared" si="0"/>
        <v>14.43</v>
      </c>
      <c r="J18" s="1">
        <f t="shared" si="1"/>
        <v>14430000</v>
      </c>
    </row>
    <row r="19" spans="1:10">
      <c r="A19" s="2">
        <v>45300</v>
      </c>
      <c r="B19" s="1">
        <v>786.5</v>
      </c>
      <c r="C19" s="1">
        <v>832</v>
      </c>
      <c r="D19" s="1">
        <v>858.95</v>
      </c>
      <c r="E19" s="1">
        <v>773.05</v>
      </c>
      <c r="F19" s="1" t="s">
        <v>22</v>
      </c>
      <c r="G19" s="3">
        <v>-5.28E-2</v>
      </c>
      <c r="I19" s="1" t="str">
        <f t="shared" si="0"/>
        <v>28.75</v>
      </c>
      <c r="J19" s="1">
        <f t="shared" si="1"/>
        <v>28750000</v>
      </c>
    </row>
    <row r="20" spans="1:10">
      <c r="A20" s="2">
        <v>45299</v>
      </c>
      <c r="B20" s="1">
        <v>830.35</v>
      </c>
      <c r="C20" s="1">
        <v>883</v>
      </c>
      <c r="D20" s="1">
        <v>941.9</v>
      </c>
      <c r="E20" s="1">
        <v>752.35</v>
      </c>
      <c r="F20" s="1" t="s">
        <v>23</v>
      </c>
      <c r="G20" s="3">
        <v>-7.2800000000000004E-2</v>
      </c>
      <c r="I20" s="1" t="str">
        <f t="shared" si="0"/>
        <v>82.29</v>
      </c>
      <c r="J20" s="1">
        <f t="shared" si="1"/>
        <v>82290000</v>
      </c>
    </row>
    <row r="21" spans="1:10">
      <c r="A21" s="2">
        <v>45298</v>
      </c>
      <c r="B21" s="1">
        <v>895.55</v>
      </c>
      <c r="C21" s="1">
        <v>896.55</v>
      </c>
      <c r="D21" s="1">
        <v>938</v>
      </c>
      <c r="E21" s="1">
        <v>857</v>
      </c>
      <c r="F21" s="1" t="s">
        <v>24</v>
      </c>
      <c r="G21" s="3">
        <v>-5.0000000000000001E-4</v>
      </c>
      <c r="I21" s="1" t="str">
        <f t="shared" si="0"/>
        <v>45.98</v>
      </c>
      <c r="J21" s="1">
        <f t="shared" si="1"/>
        <v>45980000</v>
      </c>
    </row>
    <row r="22" spans="1:10">
      <c r="A22" s="2">
        <v>45297</v>
      </c>
      <c r="B22" s="1">
        <v>896</v>
      </c>
      <c r="C22" s="4">
        <v>1190</v>
      </c>
      <c r="D22" s="4">
        <v>1190</v>
      </c>
      <c r="E22" s="1">
        <v>824.25</v>
      </c>
      <c r="F22" s="1" t="s">
        <v>25</v>
      </c>
      <c r="G22" s="3">
        <v>-0.13789999999999999</v>
      </c>
      <c r="I22" s="1" t="str">
        <f t="shared" si="0"/>
        <v>50.78</v>
      </c>
      <c r="J22" s="1">
        <f t="shared" si="1"/>
        <v>50780000</v>
      </c>
    </row>
    <row r="23" spans="1:10">
      <c r="A23" s="2">
        <v>45296</v>
      </c>
      <c r="B23" s="4">
        <v>1039.3</v>
      </c>
      <c r="C23" s="1">
        <v>955</v>
      </c>
      <c r="D23" s="4">
        <v>1060</v>
      </c>
      <c r="E23" s="1">
        <v>849.1</v>
      </c>
      <c r="F23" s="1" t="s">
        <v>26</v>
      </c>
      <c r="G23" s="3">
        <v>0.1186</v>
      </c>
      <c r="I23" s="1" t="str">
        <f t="shared" si="0"/>
        <v>45.82</v>
      </c>
      <c r="J23" s="1">
        <f t="shared" si="1"/>
        <v>45820000</v>
      </c>
    </row>
    <row r="24" spans="1:10">
      <c r="A24" s="2">
        <v>45295</v>
      </c>
      <c r="B24" s="1">
        <v>929.1</v>
      </c>
      <c r="C24" s="1">
        <v>947.95</v>
      </c>
      <c r="D24" s="4">
        <v>1000</v>
      </c>
      <c r="E24" s="1">
        <v>898</v>
      </c>
      <c r="F24" s="1" t="s">
        <v>27</v>
      </c>
      <c r="G24" s="3">
        <v>2.8E-3</v>
      </c>
      <c r="I24" s="1" t="str">
        <f t="shared" si="0"/>
        <v>26.69</v>
      </c>
      <c r="J24" s="1">
        <f t="shared" si="1"/>
        <v>26690000</v>
      </c>
    </row>
    <row r="25" spans="1:10">
      <c r="A25" s="2">
        <v>45294</v>
      </c>
      <c r="B25" s="1">
        <v>926.55</v>
      </c>
      <c r="C25" s="4">
        <v>1033</v>
      </c>
      <c r="D25" s="4">
        <v>1053.8499999999999</v>
      </c>
      <c r="E25" s="1">
        <v>846.55</v>
      </c>
      <c r="F25" s="1" t="s">
        <v>28</v>
      </c>
      <c r="G25" s="3">
        <v>-9.6600000000000005E-2</v>
      </c>
      <c r="I25" s="1" t="str">
        <f t="shared" si="0"/>
        <v>59.83</v>
      </c>
      <c r="J25" s="1">
        <f t="shared" si="1"/>
        <v>59830000</v>
      </c>
    </row>
    <row r="26" spans="1:10">
      <c r="A26" s="2">
        <v>45293</v>
      </c>
      <c r="B26" s="4">
        <v>1025.6500000000001</v>
      </c>
      <c r="C26" s="4">
        <v>1018.3</v>
      </c>
      <c r="D26" s="4">
        <v>1096</v>
      </c>
      <c r="E26" s="1">
        <v>983</v>
      </c>
      <c r="F26" s="1" t="s">
        <v>29</v>
      </c>
      <c r="G26" s="3">
        <v>1.3100000000000001E-2</v>
      </c>
      <c r="I26" s="1" t="str">
        <f t="shared" si="0"/>
        <v>75.13</v>
      </c>
      <c r="J26" s="1">
        <f t="shared" si="1"/>
        <v>75130000</v>
      </c>
    </row>
    <row r="27" spans="1:10">
      <c r="A27" s="2">
        <v>45292</v>
      </c>
      <c r="B27" s="4">
        <v>1012.35</v>
      </c>
      <c r="C27" s="1">
        <v>992.4</v>
      </c>
      <c r="D27" s="4">
        <v>1159.8</v>
      </c>
      <c r="E27" s="1">
        <v>972.45</v>
      </c>
      <c r="F27" s="1" t="s">
        <v>30</v>
      </c>
      <c r="G27" s="3">
        <v>2.47E-2</v>
      </c>
      <c r="I27" s="1" t="str">
        <f t="shared" si="0"/>
        <v>59.32</v>
      </c>
      <c r="J27" s="1">
        <f t="shared" si="1"/>
        <v>59320000</v>
      </c>
    </row>
    <row r="28" spans="1:10">
      <c r="A28" s="2">
        <v>44938</v>
      </c>
      <c r="B28" s="1">
        <v>987.95</v>
      </c>
      <c r="C28" s="1">
        <v>716.7</v>
      </c>
      <c r="D28" s="4">
        <v>1259.4000000000001</v>
      </c>
      <c r="E28" s="1">
        <v>697.05</v>
      </c>
      <c r="F28" s="1" t="s">
        <v>31</v>
      </c>
      <c r="G28" s="3">
        <v>0.39379999999999998</v>
      </c>
      <c r="I28" s="1" t="str">
        <f t="shared" si="0"/>
        <v>147.01</v>
      </c>
      <c r="J28" s="1">
        <f t="shared" si="1"/>
        <v>147010000</v>
      </c>
    </row>
    <row r="29" spans="1:10">
      <c r="A29" s="2">
        <v>44937</v>
      </c>
      <c r="B29" s="1">
        <v>708.8</v>
      </c>
      <c r="C29" s="1">
        <v>570</v>
      </c>
      <c r="D29" s="1">
        <v>760</v>
      </c>
      <c r="E29" s="1">
        <v>527</v>
      </c>
      <c r="F29" s="1" t="s">
        <v>32</v>
      </c>
      <c r="G29" s="3">
        <v>0.25609999999999999</v>
      </c>
      <c r="I29" s="1" t="str">
        <f t="shared" si="0"/>
        <v>41.74</v>
      </c>
      <c r="J29" s="1">
        <f t="shared" si="1"/>
        <v>41740000</v>
      </c>
    </row>
    <row r="30" spans="1:10">
      <c r="A30" s="2">
        <v>44936</v>
      </c>
      <c r="B30" s="1">
        <v>564.29999999999995</v>
      </c>
      <c r="C30" s="1">
        <v>619.85</v>
      </c>
      <c r="D30" s="1">
        <v>629.75</v>
      </c>
      <c r="E30" s="1">
        <v>522</v>
      </c>
      <c r="F30" s="1" t="s">
        <v>33</v>
      </c>
      <c r="G30" s="3">
        <v>-7.9799999999999996E-2</v>
      </c>
      <c r="I30" s="1" t="str">
        <f t="shared" si="0"/>
        <v>20.85</v>
      </c>
      <c r="J30" s="1">
        <f t="shared" si="1"/>
        <v>20850000</v>
      </c>
    </row>
    <row r="31" spans="1:10">
      <c r="A31" s="2">
        <v>44935</v>
      </c>
      <c r="B31" s="1">
        <v>613.25</v>
      </c>
      <c r="C31" s="1">
        <v>625.15</v>
      </c>
      <c r="D31" s="1">
        <v>673.05</v>
      </c>
      <c r="E31" s="1">
        <v>611.04999999999995</v>
      </c>
      <c r="F31" s="1" t="s">
        <v>34</v>
      </c>
      <c r="G31" s="3">
        <v>-3.5499999999999997E-2</v>
      </c>
      <c r="I31" s="1" t="str">
        <f t="shared" si="0"/>
        <v>11.52</v>
      </c>
      <c r="J31" s="1">
        <f t="shared" si="1"/>
        <v>11520000</v>
      </c>
    </row>
    <row r="32" spans="1:10">
      <c r="A32" s="2">
        <v>44934</v>
      </c>
      <c r="B32" s="1">
        <v>635.79999999999995</v>
      </c>
      <c r="C32" s="1">
        <v>667.95</v>
      </c>
      <c r="D32" s="1">
        <v>686</v>
      </c>
      <c r="E32" s="1">
        <v>626</v>
      </c>
      <c r="F32" s="1" t="s">
        <v>35</v>
      </c>
      <c r="G32" s="3">
        <v>-4.2000000000000003E-2</v>
      </c>
      <c r="I32" s="1" t="str">
        <f t="shared" si="0"/>
        <v>17.62</v>
      </c>
      <c r="J32" s="1">
        <f t="shared" si="1"/>
        <v>17620000</v>
      </c>
    </row>
    <row r="33" spans="1:10">
      <c r="A33" s="2">
        <v>44933</v>
      </c>
      <c r="B33" s="1">
        <v>663.7</v>
      </c>
      <c r="C33" s="1">
        <v>664</v>
      </c>
      <c r="D33" s="1">
        <v>678.4</v>
      </c>
      <c r="E33" s="1">
        <v>625</v>
      </c>
      <c r="F33" s="1" t="s">
        <v>36</v>
      </c>
      <c r="G33" s="3">
        <v>1.3899999999999999E-2</v>
      </c>
      <c r="I33" s="1" t="str">
        <f t="shared" si="0"/>
        <v>14.97</v>
      </c>
      <c r="J33" s="1">
        <f t="shared" si="1"/>
        <v>14970000</v>
      </c>
    </row>
    <row r="34" spans="1:10">
      <c r="A34" s="2">
        <v>44932</v>
      </c>
      <c r="B34" s="1">
        <v>654.6</v>
      </c>
      <c r="C34" s="1">
        <v>653</v>
      </c>
      <c r="D34" s="1">
        <v>702.4</v>
      </c>
      <c r="E34" s="1">
        <v>620.04999999999995</v>
      </c>
      <c r="F34" s="1" t="s">
        <v>37</v>
      </c>
      <c r="G34" s="3">
        <v>-1.44E-2</v>
      </c>
      <c r="I34" s="1" t="str">
        <f t="shared" si="0"/>
        <v>45.13</v>
      </c>
      <c r="J34" s="1">
        <f t="shared" si="1"/>
        <v>45130000</v>
      </c>
    </row>
    <row r="35" spans="1:10">
      <c r="A35" s="2">
        <v>44931</v>
      </c>
      <c r="B35" s="1">
        <v>664.15</v>
      </c>
      <c r="C35" s="1">
        <v>950</v>
      </c>
      <c r="D35" s="1">
        <v>990</v>
      </c>
      <c r="E35" s="1">
        <v>633.35</v>
      </c>
      <c r="F35" s="1" t="s">
        <v>38</v>
      </c>
      <c r="G35" s="3">
        <v>-0.29720000000000002</v>
      </c>
      <c r="I35" s="1" t="str">
        <f t="shared" si="0"/>
        <v>80.52</v>
      </c>
      <c r="J35" s="1">
        <f t="shared" si="1"/>
        <v>80520000</v>
      </c>
    </row>
    <row r="36" spans="1:10">
      <c r="A36" s="2">
        <v>44930</v>
      </c>
      <c r="B36" s="1">
        <v>945</v>
      </c>
      <c r="C36" s="1">
        <v>872.95</v>
      </c>
      <c r="D36" s="1">
        <v>994</v>
      </c>
      <c r="E36" s="1">
        <v>805</v>
      </c>
      <c r="F36" s="1" t="s">
        <v>39</v>
      </c>
      <c r="G36" s="3">
        <v>8.8999999999999996E-2</v>
      </c>
      <c r="I36" s="1" t="str">
        <f t="shared" si="0"/>
        <v>14.50</v>
      </c>
      <c r="J36" s="1">
        <f t="shared" si="1"/>
        <v>14500000</v>
      </c>
    </row>
    <row r="37" spans="1:10">
      <c r="A37" s="2">
        <v>44929</v>
      </c>
      <c r="B37" s="1">
        <v>867.75</v>
      </c>
      <c r="C37" s="1">
        <v>650</v>
      </c>
      <c r="D37" s="4">
        <v>1040</v>
      </c>
      <c r="E37" s="1">
        <v>650</v>
      </c>
      <c r="F37" s="1" t="s">
        <v>40</v>
      </c>
      <c r="G37" s="3">
        <v>0.27879999999999999</v>
      </c>
      <c r="I37" s="1" t="str">
        <f t="shared" si="0"/>
        <v>53.41</v>
      </c>
      <c r="J37" s="1">
        <f t="shared" si="1"/>
        <v>53410000</v>
      </c>
    </row>
    <row r="38" spans="1:10">
      <c r="A38" s="2">
        <v>44928</v>
      </c>
      <c r="B38" s="1">
        <v>678.55</v>
      </c>
      <c r="C38" s="4">
        <v>1951</v>
      </c>
      <c r="D38" s="4">
        <v>1998.8</v>
      </c>
      <c r="E38" s="1">
        <v>678.55</v>
      </c>
      <c r="F38" s="1" t="s">
        <v>41</v>
      </c>
      <c r="G38" s="3">
        <v>-0.67810000000000004</v>
      </c>
      <c r="I38" s="1" t="str">
        <f t="shared" si="0"/>
        <v>14.93</v>
      </c>
      <c r="J38" s="1">
        <f t="shared" si="1"/>
        <v>14930000</v>
      </c>
    </row>
    <row r="39" spans="1:10">
      <c r="A39" s="2">
        <v>44927</v>
      </c>
      <c r="B39" s="4">
        <v>2108.1999999999998</v>
      </c>
      <c r="C39" s="4">
        <v>3700</v>
      </c>
      <c r="D39" s="4">
        <v>4000</v>
      </c>
      <c r="E39" s="4">
        <v>2108.1999999999998</v>
      </c>
      <c r="F39" s="1" t="s">
        <v>42</v>
      </c>
      <c r="G39" s="3">
        <v>-0.42909999999999998</v>
      </c>
      <c r="I39" s="1" t="str">
        <f t="shared" si="0"/>
        <v>11.39</v>
      </c>
      <c r="J39" s="1">
        <f t="shared" si="1"/>
        <v>11390000</v>
      </c>
    </row>
    <row r="40" spans="1:10">
      <c r="A40" s="2">
        <v>44573</v>
      </c>
      <c r="B40" s="4">
        <v>3692.85</v>
      </c>
      <c r="C40" s="4">
        <v>3650.95</v>
      </c>
      <c r="D40" s="4">
        <v>3999</v>
      </c>
      <c r="E40" s="4">
        <v>3100.1</v>
      </c>
      <c r="F40" s="1" t="s">
        <v>43</v>
      </c>
      <c r="G40" s="3">
        <v>1.6500000000000001E-2</v>
      </c>
      <c r="I40" s="1" t="str">
        <f t="shared" si="0"/>
        <v>7.01</v>
      </c>
      <c r="J40" s="1">
        <f t="shared" si="1"/>
        <v>7010000</v>
      </c>
    </row>
    <row r="41" spans="1:10">
      <c r="A41" s="2">
        <v>44572</v>
      </c>
      <c r="B41" s="4">
        <v>3632.75</v>
      </c>
      <c r="C41" s="4">
        <v>3620.9</v>
      </c>
      <c r="D41" s="4">
        <v>3912.4</v>
      </c>
      <c r="E41" s="4">
        <v>3501</v>
      </c>
      <c r="F41" s="1" t="s">
        <v>44</v>
      </c>
      <c r="G41" s="3">
        <v>8.3000000000000001E-3</v>
      </c>
      <c r="I41" s="1" t="str">
        <f t="shared" si="0"/>
        <v>5.96</v>
      </c>
      <c r="J41" s="1">
        <f t="shared" si="1"/>
        <v>5960000</v>
      </c>
    </row>
    <row r="42" spans="1:10">
      <c r="A42" s="2">
        <v>44571</v>
      </c>
      <c r="B42" s="4">
        <v>3602.85</v>
      </c>
      <c r="C42" s="4">
        <v>3329.9</v>
      </c>
      <c r="D42" s="4">
        <v>3658.7</v>
      </c>
      <c r="E42" s="4">
        <v>2965.65</v>
      </c>
      <c r="F42" s="1" t="s">
        <v>45</v>
      </c>
      <c r="G42" s="3">
        <v>7.8700000000000006E-2</v>
      </c>
      <c r="I42" s="1" t="str">
        <f t="shared" si="0"/>
        <v>6.48</v>
      </c>
      <c r="J42" s="1">
        <f t="shared" si="1"/>
        <v>6480000</v>
      </c>
    </row>
    <row r="43" spans="1:10">
      <c r="A43" s="2">
        <v>44570</v>
      </c>
      <c r="B43" s="4">
        <v>3339.85</v>
      </c>
      <c r="C43" s="4">
        <v>3684.05</v>
      </c>
      <c r="D43" s="4">
        <v>3764.95</v>
      </c>
      <c r="E43" s="4">
        <v>3251.1</v>
      </c>
      <c r="F43" s="1" t="s">
        <v>46</v>
      </c>
      <c r="G43" s="3">
        <v>-0.1082</v>
      </c>
      <c r="I43" s="1" t="str">
        <f t="shared" si="0"/>
        <v>9.39</v>
      </c>
      <c r="J43" s="1">
        <f t="shared" si="1"/>
        <v>9390000</v>
      </c>
    </row>
    <row r="44" spans="1:10">
      <c r="A44" s="2">
        <v>44569</v>
      </c>
      <c r="B44" s="4">
        <v>3744.95</v>
      </c>
      <c r="C44" s="4">
        <v>3144</v>
      </c>
      <c r="D44" s="4">
        <v>3816</v>
      </c>
      <c r="E44" s="4">
        <v>2811</v>
      </c>
      <c r="F44" s="1" t="s">
        <v>47</v>
      </c>
      <c r="G44" s="3">
        <v>0.19750000000000001</v>
      </c>
      <c r="I44" s="1" t="str">
        <f t="shared" si="0"/>
        <v>9.98</v>
      </c>
      <c r="J44" s="1">
        <f t="shared" si="1"/>
        <v>9980000</v>
      </c>
    </row>
    <row r="45" spans="1:10">
      <c r="A45" s="2">
        <v>44568</v>
      </c>
      <c r="B45" s="4">
        <v>3127.2</v>
      </c>
      <c r="C45" s="4">
        <v>2392.5500000000002</v>
      </c>
      <c r="D45" s="4">
        <v>3158</v>
      </c>
      <c r="E45" s="4">
        <v>2362.4499999999998</v>
      </c>
      <c r="F45" s="1" t="s">
        <v>48</v>
      </c>
      <c r="G45" s="3">
        <v>0.30690000000000001</v>
      </c>
      <c r="I45" s="1" t="str">
        <f t="shared" si="0"/>
        <v>9.51</v>
      </c>
      <c r="J45" s="1">
        <f t="shared" si="1"/>
        <v>9510000</v>
      </c>
    </row>
    <row r="46" spans="1:10">
      <c r="A46" s="2">
        <v>44567</v>
      </c>
      <c r="B46" s="4">
        <v>2392.9</v>
      </c>
      <c r="C46" s="4">
        <v>2380.9</v>
      </c>
      <c r="D46" s="4">
        <v>2585.6</v>
      </c>
      <c r="E46" s="4">
        <v>1948</v>
      </c>
      <c r="F46" s="1" t="s">
        <v>49</v>
      </c>
      <c r="G46" s="3">
        <v>-2.0999999999999999E-3</v>
      </c>
      <c r="I46" s="1" t="str">
        <f t="shared" si="0"/>
        <v>11.70</v>
      </c>
      <c r="J46" s="1">
        <f t="shared" si="1"/>
        <v>11700000</v>
      </c>
    </row>
    <row r="47" spans="1:10">
      <c r="A47" s="2">
        <v>44566</v>
      </c>
      <c r="B47" s="4">
        <v>2397.9</v>
      </c>
      <c r="C47" s="4">
        <v>2451</v>
      </c>
      <c r="D47" s="4">
        <v>2624</v>
      </c>
      <c r="E47" s="4">
        <v>2145</v>
      </c>
      <c r="F47" s="1" t="s">
        <v>50</v>
      </c>
      <c r="G47" s="3">
        <v>-2.1600000000000001E-2</v>
      </c>
      <c r="I47" s="1" t="str">
        <f t="shared" si="0"/>
        <v>8.87</v>
      </c>
      <c r="J47" s="1">
        <f t="shared" si="1"/>
        <v>8870000</v>
      </c>
    </row>
    <row r="48" spans="1:10">
      <c r="A48" s="2">
        <v>44565</v>
      </c>
      <c r="B48" s="4">
        <v>2450.9499999999998</v>
      </c>
      <c r="C48" s="4">
        <v>2178.5500000000002</v>
      </c>
      <c r="D48" s="4">
        <v>2740</v>
      </c>
      <c r="E48" s="4">
        <v>2155.65</v>
      </c>
      <c r="F48" s="1" t="s">
        <v>51</v>
      </c>
      <c r="G48" s="3">
        <v>0.1401</v>
      </c>
      <c r="I48" s="1" t="str">
        <f t="shared" si="0"/>
        <v>7.29</v>
      </c>
      <c r="J48" s="1">
        <f t="shared" si="1"/>
        <v>7290000</v>
      </c>
    </row>
    <row r="49" spans="1:10">
      <c r="A49" s="2">
        <v>44564</v>
      </c>
      <c r="B49" s="4">
        <v>2149.8000000000002</v>
      </c>
      <c r="C49" s="4">
        <v>1592</v>
      </c>
      <c r="D49" s="4">
        <v>2242.9</v>
      </c>
      <c r="E49" s="4">
        <v>1550.3</v>
      </c>
      <c r="F49" s="1" t="s">
        <v>52</v>
      </c>
      <c r="G49" s="3">
        <v>0.35339999999999999</v>
      </c>
      <c r="I49" s="1" t="str">
        <f t="shared" si="0"/>
        <v>5.68</v>
      </c>
      <c r="J49" s="1">
        <f t="shared" si="1"/>
        <v>5680000</v>
      </c>
    </row>
    <row r="50" spans="1:10">
      <c r="A50" s="2">
        <v>44563</v>
      </c>
      <c r="B50" s="4">
        <v>1588.5</v>
      </c>
      <c r="C50" s="4">
        <v>1830</v>
      </c>
      <c r="D50" s="4">
        <v>1880</v>
      </c>
      <c r="E50" s="4">
        <v>1510.3</v>
      </c>
      <c r="F50" s="1" t="s">
        <v>53</v>
      </c>
      <c r="G50" s="3">
        <v>-0.1278</v>
      </c>
      <c r="I50" s="1" t="str">
        <f t="shared" si="0"/>
        <v>3.52</v>
      </c>
      <c r="J50" s="1">
        <f t="shared" si="1"/>
        <v>3520000</v>
      </c>
    </row>
    <row r="51" spans="1:10">
      <c r="A51" s="2">
        <v>44562</v>
      </c>
      <c r="B51" s="4">
        <v>1821.25</v>
      </c>
      <c r="C51" s="4">
        <v>1685.05</v>
      </c>
      <c r="D51" s="4">
        <v>1890</v>
      </c>
      <c r="E51" s="4">
        <v>1685.05</v>
      </c>
      <c r="F51" s="1" t="s">
        <v>54</v>
      </c>
      <c r="G51" s="3">
        <v>5.7799999999999997E-2</v>
      </c>
      <c r="I51" s="1" t="str">
        <f t="shared" si="0"/>
        <v>3.91</v>
      </c>
      <c r="J51" s="1">
        <f t="shared" si="1"/>
        <v>3910000</v>
      </c>
    </row>
    <row r="52" spans="1:10">
      <c r="A52" s="2">
        <v>44208</v>
      </c>
      <c r="B52" s="4">
        <v>1721.8</v>
      </c>
      <c r="C52" s="4">
        <v>1620</v>
      </c>
      <c r="D52" s="4">
        <v>1987.1</v>
      </c>
      <c r="E52" s="4">
        <v>1513.15</v>
      </c>
      <c r="F52" s="1" t="s">
        <v>55</v>
      </c>
      <c r="G52" s="3">
        <v>7.6200000000000004E-2</v>
      </c>
      <c r="I52" s="1" t="str">
        <f t="shared" si="0"/>
        <v>4.45</v>
      </c>
      <c r="J52" s="1">
        <f t="shared" si="1"/>
        <v>4450000</v>
      </c>
    </row>
    <row r="53" spans="1:10">
      <c r="A53" s="2">
        <v>44207</v>
      </c>
      <c r="B53" s="4">
        <v>1599.85</v>
      </c>
      <c r="C53" s="4">
        <v>1374.55</v>
      </c>
      <c r="D53" s="4">
        <v>1715</v>
      </c>
      <c r="E53" s="4">
        <v>1374.55</v>
      </c>
      <c r="F53" s="1" t="s">
        <v>56</v>
      </c>
      <c r="G53" s="3">
        <v>0.1114</v>
      </c>
      <c r="I53" s="1" t="str">
        <f t="shared" si="0"/>
        <v>8.94</v>
      </c>
      <c r="J53" s="1">
        <f t="shared" si="1"/>
        <v>8940000</v>
      </c>
    </row>
    <row r="54" spans="1:10">
      <c r="A54" s="2">
        <v>44206</v>
      </c>
      <c r="B54" s="4">
        <v>1439.45</v>
      </c>
      <c r="C54" s="4">
        <v>1425</v>
      </c>
      <c r="D54" s="4">
        <v>1483.7</v>
      </c>
      <c r="E54" s="4">
        <v>1345</v>
      </c>
      <c r="F54" s="1" t="s">
        <v>57</v>
      </c>
      <c r="G54" s="3">
        <v>1.15E-2</v>
      </c>
      <c r="I54" s="1" t="str">
        <f t="shared" si="0"/>
        <v>8.03</v>
      </c>
      <c r="J54" s="1">
        <f t="shared" si="1"/>
        <v>8029999.9999999991</v>
      </c>
    </row>
    <row r="55" spans="1:10">
      <c r="A55" s="2">
        <v>44205</v>
      </c>
      <c r="B55" s="4">
        <v>1423.15</v>
      </c>
      <c r="C55" s="4">
        <v>1525.1</v>
      </c>
      <c r="D55" s="4">
        <v>1525.1</v>
      </c>
      <c r="E55" s="4">
        <v>1267.55</v>
      </c>
      <c r="F55" s="1" t="s">
        <v>58</v>
      </c>
      <c r="G55" s="3">
        <v>-2.0199999999999999E-2</v>
      </c>
      <c r="I55" s="1" t="str">
        <f t="shared" si="0"/>
        <v>9.25</v>
      </c>
      <c r="J55" s="1">
        <f t="shared" si="1"/>
        <v>9250000</v>
      </c>
    </row>
    <row r="56" spans="1:10">
      <c r="A56" s="2">
        <v>44204</v>
      </c>
      <c r="B56" s="4">
        <v>1452.5</v>
      </c>
      <c r="C56" s="1">
        <v>892.55</v>
      </c>
      <c r="D56" s="4">
        <v>1452.55</v>
      </c>
      <c r="E56" s="1">
        <v>843</v>
      </c>
      <c r="F56" s="1" t="s">
        <v>59</v>
      </c>
      <c r="G56" s="3">
        <v>0.62739999999999996</v>
      </c>
      <c r="I56" s="1" t="str">
        <f t="shared" si="0"/>
        <v>5.53</v>
      </c>
      <c r="J56" s="1">
        <f t="shared" si="1"/>
        <v>5530000</v>
      </c>
    </row>
    <row r="57" spans="1:10">
      <c r="A57" s="2">
        <v>44203</v>
      </c>
      <c r="B57" s="1">
        <v>892.55</v>
      </c>
      <c r="C57" s="1">
        <v>968.9</v>
      </c>
      <c r="D57" s="1">
        <v>968.9</v>
      </c>
      <c r="E57" s="1">
        <v>774.95</v>
      </c>
      <c r="F57" s="1" t="s">
        <v>60</v>
      </c>
      <c r="G57" s="3">
        <v>-0.12479999999999999</v>
      </c>
      <c r="I57" s="1" t="str">
        <f t="shared" si="0"/>
        <v>7.75</v>
      </c>
      <c r="J57" s="1">
        <f t="shared" si="1"/>
        <v>7750000</v>
      </c>
    </row>
    <row r="58" spans="1:10">
      <c r="A58" s="2">
        <v>44202</v>
      </c>
      <c r="B58" s="4">
        <v>1019.85</v>
      </c>
      <c r="C58" s="4">
        <v>1360</v>
      </c>
      <c r="D58" s="4">
        <v>1679</v>
      </c>
      <c r="E58" s="4">
        <v>1019.85</v>
      </c>
      <c r="F58" s="1" t="s">
        <v>61</v>
      </c>
      <c r="G58" s="3">
        <v>-0.24390000000000001</v>
      </c>
      <c r="I58" s="1" t="str">
        <f t="shared" si="0"/>
        <v>20.36</v>
      </c>
      <c r="J58" s="1">
        <f t="shared" si="1"/>
        <v>20360000</v>
      </c>
    </row>
    <row r="59" spans="1:10">
      <c r="A59" s="2">
        <v>44201</v>
      </c>
      <c r="B59" s="4">
        <v>1348.85</v>
      </c>
      <c r="C59" s="4">
        <v>1135</v>
      </c>
      <c r="D59" s="4">
        <v>1400</v>
      </c>
      <c r="E59" s="4">
        <v>1120.2</v>
      </c>
      <c r="F59" s="1" t="s">
        <v>62</v>
      </c>
      <c r="G59" s="3">
        <v>0.1721</v>
      </c>
      <c r="I59" s="1" t="str">
        <f t="shared" si="0"/>
        <v>75.61</v>
      </c>
      <c r="J59" s="1">
        <f t="shared" si="1"/>
        <v>75610000</v>
      </c>
    </row>
    <row r="60" spans="1:10">
      <c r="A60" s="2">
        <v>44200</v>
      </c>
      <c r="B60" s="4">
        <v>1150.75</v>
      </c>
      <c r="C60" s="1">
        <v>985</v>
      </c>
      <c r="D60" s="4">
        <v>1249.95</v>
      </c>
      <c r="E60" s="1">
        <v>950</v>
      </c>
      <c r="F60" s="1" t="s">
        <v>63</v>
      </c>
      <c r="G60" s="3">
        <v>0.1971</v>
      </c>
      <c r="I60" s="1" t="str">
        <f t="shared" si="0"/>
        <v>50.40</v>
      </c>
      <c r="J60" s="1">
        <f t="shared" si="1"/>
        <v>50400000</v>
      </c>
    </row>
    <row r="61" spans="1:10">
      <c r="A61" s="2">
        <v>44199</v>
      </c>
      <c r="B61" s="1">
        <v>961.25</v>
      </c>
      <c r="C61" s="1">
        <v>523.29999999999995</v>
      </c>
      <c r="D61" s="1">
        <v>971.35</v>
      </c>
      <c r="E61" s="1">
        <v>516.5</v>
      </c>
      <c r="F61" s="1" t="s">
        <v>64</v>
      </c>
      <c r="G61" s="3">
        <v>0.87670000000000003</v>
      </c>
      <c r="I61" s="1" t="str">
        <f t="shared" si="0"/>
        <v>58.84</v>
      </c>
      <c r="J61" s="1">
        <f t="shared" si="1"/>
        <v>58840000</v>
      </c>
    </row>
    <row r="62" spans="1:10">
      <c r="A62" s="2">
        <v>44198</v>
      </c>
      <c r="B62" s="1">
        <v>512.20000000000005</v>
      </c>
      <c r="C62" s="1">
        <v>385.25</v>
      </c>
      <c r="D62" s="1">
        <v>542.79999999999995</v>
      </c>
      <c r="E62" s="1">
        <v>376.2</v>
      </c>
      <c r="F62" s="1" t="s">
        <v>65</v>
      </c>
      <c r="G62" s="3">
        <v>0.34420000000000001</v>
      </c>
      <c r="I62" s="1" t="str">
        <f t="shared" si="0"/>
        <v>42.81</v>
      </c>
      <c r="J62" s="1">
        <f t="shared" si="1"/>
        <v>42810000</v>
      </c>
    </row>
    <row r="63" spans="1:10">
      <c r="A63" s="2">
        <v>44197</v>
      </c>
      <c r="B63" s="1">
        <v>381.05</v>
      </c>
      <c r="C63" s="1">
        <v>377.4</v>
      </c>
      <c r="D63" s="1">
        <v>389.4</v>
      </c>
      <c r="E63" s="1">
        <v>341</v>
      </c>
      <c r="F63" s="1" t="s">
        <v>66</v>
      </c>
      <c r="G63" s="3">
        <v>1.4500000000000001E-2</v>
      </c>
      <c r="I63" s="1" t="str">
        <f t="shared" si="0"/>
        <v>23.51</v>
      </c>
      <c r="J63" s="1">
        <f t="shared" si="1"/>
        <v>23510000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CE6BD-A904-45E5-8495-5781373A0F82}">
  <dimension ref="A1:G63"/>
  <sheetViews>
    <sheetView tabSelected="1" zoomScale="85" zoomScaleNormal="85" workbookViewId="0">
      <selection activeCell="T5" sqref="T5"/>
    </sheetView>
  </sheetViews>
  <sheetFormatPr defaultRowHeight="14.4"/>
  <cols>
    <col min="1" max="1" width="7.75" style="5" bestFit="1" customWidth="1"/>
    <col min="2" max="16384" width="8.6640625" style="5"/>
  </cols>
  <sheetData>
    <row r="1" spans="1:7">
      <c r="A1" s="5" t="s">
        <v>277</v>
      </c>
      <c r="B1" s="26"/>
      <c r="C1" s="5" t="s">
        <v>276</v>
      </c>
    </row>
    <row r="2" spans="1:7">
      <c r="A2" s="5" t="s">
        <v>278</v>
      </c>
      <c r="C2" s="117">
        <v>46027</v>
      </c>
    </row>
    <row r="3" spans="1:7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</row>
    <row r="4" spans="1:7">
      <c r="A4" s="6">
        <v>45669</v>
      </c>
      <c r="B4" s="7">
        <v>26129.599999999999</v>
      </c>
      <c r="C4" s="7">
        <v>26325.8</v>
      </c>
      <c r="D4" s="7">
        <v>26325.8</v>
      </c>
      <c r="E4" s="7">
        <v>25693.25</v>
      </c>
      <c r="F4" s="5" t="s">
        <v>67</v>
      </c>
      <c r="G4" s="8">
        <v>-2.8E-3</v>
      </c>
    </row>
    <row r="5" spans="1:7">
      <c r="A5" s="6">
        <v>45668</v>
      </c>
      <c r="B5" s="7">
        <v>26202.95</v>
      </c>
      <c r="C5" s="7">
        <v>25696.85</v>
      </c>
      <c r="D5" s="7">
        <v>26310.45</v>
      </c>
      <c r="E5" s="7">
        <v>25318.45</v>
      </c>
      <c r="F5" s="5" t="s">
        <v>68</v>
      </c>
      <c r="G5" s="8">
        <v>1.8700000000000001E-2</v>
      </c>
    </row>
    <row r="6" spans="1:7">
      <c r="A6" s="6">
        <v>45667</v>
      </c>
      <c r="B6" s="7">
        <v>25722.1</v>
      </c>
      <c r="C6" s="7">
        <v>24620.55</v>
      </c>
      <c r="D6" s="7">
        <v>26104.2</v>
      </c>
      <c r="E6" s="7">
        <v>24605.95</v>
      </c>
      <c r="F6" s="5" t="s">
        <v>69</v>
      </c>
      <c r="G6" s="8">
        <v>4.5100000000000001E-2</v>
      </c>
    </row>
    <row r="7" spans="1:7">
      <c r="A7" s="6">
        <v>45666</v>
      </c>
      <c r="B7" s="7">
        <v>24611.1</v>
      </c>
      <c r="C7" s="7">
        <v>24432.7</v>
      </c>
      <c r="D7" s="7">
        <v>25448.95</v>
      </c>
      <c r="E7" s="7">
        <v>24432.7</v>
      </c>
      <c r="F7" s="5" t="s">
        <v>70</v>
      </c>
      <c r="G7" s="8">
        <v>7.4999999999999997E-3</v>
      </c>
    </row>
    <row r="8" spans="1:7">
      <c r="A8" s="6">
        <v>45665</v>
      </c>
      <c r="B8" s="7">
        <v>24426.85</v>
      </c>
      <c r="C8" s="7">
        <v>24734.9</v>
      </c>
      <c r="D8" s="7">
        <v>25153.65</v>
      </c>
      <c r="E8" s="7">
        <v>24337.5</v>
      </c>
      <c r="F8" s="5" t="s">
        <v>71</v>
      </c>
      <c r="G8" s="8">
        <v>-1.38E-2</v>
      </c>
    </row>
    <row r="9" spans="1:7">
      <c r="A9" s="6">
        <v>45664</v>
      </c>
      <c r="B9" s="7">
        <v>24768.35</v>
      </c>
      <c r="C9" s="7">
        <v>25551.35</v>
      </c>
      <c r="D9" s="7">
        <v>25608.1</v>
      </c>
      <c r="E9" s="7">
        <v>24598.6</v>
      </c>
      <c r="F9" s="5" t="s">
        <v>72</v>
      </c>
      <c r="G9" s="8">
        <v>-2.93E-2</v>
      </c>
    </row>
    <row r="10" spans="1:7">
      <c r="A10" s="6">
        <v>45663</v>
      </c>
      <c r="B10" s="7">
        <v>25517.05</v>
      </c>
      <c r="C10" s="7">
        <v>24669.7</v>
      </c>
      <c r="D10" s="7">
        <v>25669.35</v>
      </c>
      <c r="E10" s="7">
        <v>24473</v>
      </c>
      <c r="F10" s="5" t="s">
        <v>73</v>
      </c>
      <c r="G10" s="8">
        <v>3.1E-2</v>
      </c>
    </row>
    <row r="11" spans="1:7">
      <c r="A11" s="6">
        <v>45662</v>
      </c>
      <c r="B11" s="7">
        <v>24750.7</v>
      </c>
      <c r="C11" s="7">
        <v>24311.9</v>
      </c>
      <c r="D11" s="7">
        <v>25116.25</v>
      </c>
      <c r="E11" s="7">
        <v>23935.75</v>
      </c>
      <c r="F11" s="5" t="s">
        <v>74</v>
      </c>
      <c r="G11" s="8">
        <v>1.7100000000000001E-2</v>
      </c>
    </row>
    <row r="12" spans="1:7">
      <c r="A12" s="6">
        <v>45661</v>
      </c>
      <c r="B12" s="7">
        <v>24334.2</v>
      </c>
      <c r="C12" s="7">
        <v>23341.1</v>
      </c>
      <c r="D12" s="7">
        <v>24457.65</v>
      </c>
      <c r="E12" s="7">
        <v>21743.65</v>
      </c>
      <c r="F12" s="5" t="s">
        <v>75</v>
      </c>
      <c r="G12" s="8">
        <v>3.4599999999999999E-2</v>
      </c>
    </row>
    <row r="13" spans="1:7">
      <c r="A13" s="6">
        <v>45660</v>
      </c>
      <c r="B13" s="7">
        <v>23519.35</v>
      </c>
      <c r="C13" s="7">
        <v>22194.55</v>
      </c>
      <c r="D13" s="7">
        <v>23869.599999999999</v>
      </c>
      <c r="E13" s="7">
        <v>21964.6</v>
      </c>
      <c r="F13" s="5" t="s">
        <v>69</v>
      </c>
      <c r="G13" s="8">
        <v>6.3E-2</v>
      </c>
    </row>
    <row r="14" spans="1:7">
      <c r="A14" s="6">
        <v>45659</v>
      </c>
      <c r="B14" s="7">
        <v>22124.7</v>
      </c>
      <c r="C14" s="7">
        <v>23528.6</v>
      </c>
      <c r="D14" s="7">
        <v>23807.3</v>
      </c>
      <c r="E14" s="7">
        <v>22104.85</v>
      </c>
      <c r="F14" s="5" t="s">
        <v>76</v>
      </c>
      <c r="G14" s="8">
        <v>-5.8900000000000001E-2</v>
      </c>
    </row>
    <row r="15" spans="1:7">
      <c r="A15" s="6">
        <v>45658</v>
      </c>
      <c r="B15" s="7">
        <v>23508.400000000001</v>
      </c>
      <c r="C15" s="7">
        <v>23637.65</v>
      </c>
      <c r="D15" s="7">
        <v>24226.7</v>
      </c>
      <c r="E15" s="7">
        <v>22786.9</v>
      </c>
      <c r="F15" s="5" t="s">
        <v>77</v>
      </c>
      <c r="G15" s="8">
        <v>-5.7999999999999996E-3</v>
      </c>
    </row>
    <row r="16" spans="1:7">
      <c r="A16" s="6">
        <v>45303</v>
      </c>
      <c r="B16" s="7">
        <v>23644.799999999999</v>
      </c>
      <c r="C16" s="7">
        <v>24140.85</v>
      </c>
      <c r="D16" s="7">
        <v>24857.75</v>
      </c>
      <c r="E16" s="7">
        <v>23460.45</v>
      </c>
      <c r="F16" s="5" t="s">
        <v>78</v>
      </c>
      <c r="G16" s="8">
        <v>-2.0199999999999999E-2</v>
      </c>
    </row>
    <row r="17" spans="1:7">
      <c r="A17" s="6">
        <v>45302</v>
      </c>
      <c r="B17" s="7">
        <v>24131.1</v>
      </c>
      <c r="C17" s="7">
        <v>24302.75</v>
      </c>
      <c r="D17" s="7">
        <v>24537.599999999999</v>
      </c>
      <c r="E17" s="7">
        <v>23263.15</v>
      </c>
      <c r="F17" s="5" t="s">
        <v>79</v>
      </c>
      <c r="G17" s="8">
        <v>-3.0999999999999999E-3</v>
      </c>
    </row>
    <row r="18" spans="1:7">
      <c r="A18" s="6">
        <v>45301</v>
      </c>
      <c r="B18" s="7">
        <v>24205.35</v>
      </c>
      <c r="C18" s="7">
        <v>25788.45</v>
      </c>
      <c r="D18" s="7">
        <v>25907.599999999999</v>
      </c>
      <c r="E18" s="7">
        <v>24073.9</v>
      </c>
      <c r="F18" s="5" t="s">
        <v>80</v>
      </c>
      <c r="G18" s="8">
        <v>-6.2199999999999998E-2</v>
      </c>
    </row>
    <row r="19" spans="1:7">
      <c r="A19" s="6">
        <v>45300</v>
      </c>
      <c r="B19" s="7">
        <v>25810.85</v>
      </c>
      <c r="C19" s="7">
        <v>25333.599999999999</v>
      </c>
      <c r="D19" s="7">
        <v>26277.35</v>
      </c>
      <c r="E19" s="7">
        <v>24753.15</v>
      </c>
      <c r="F19" s="5" t="s">
        <v>81</v>
      </c>
      <c r="G19" s="8">
        <v>2.2800000000000001E-2</v>
      </c>
    </row>
    <row r="20" spans="1:7">
      <c r="A20" s="6">
        <v>45299</v>
      </c>
      <c r="B20" s="7">
        <v>25235.9</v>
      </c>
      <c r="C20" s="7">
        <v>25030.95</v>
      </c>
      <c r="D20" s="7">
        <v>25268.35</v>
      </c>
      <c r="E20" s="7">
        <v>23893.7</v>
      </c>
      <c r="F20" s="5" t="s">
        <v>80</v>
      </c>
      <c r="G20" s="8">
        <v>1.14E-2</v>
      </c>
    </row>
    <row r="21" spans="1:7">
      <c r="A21" s="6">
        <v>45298</v>
      </c>
      <c r="B21" s="7">
        <v>24951.15</v>
      </c>
      <c r="C21" s="7">
        <v>23992.95</v>
      </c>
      <c r="D21" s="7">
        <v>24999.75</v>
      </c>
      <c r="E21" s="7">
        <v>23992.7</v>
      </c>
      <c r="F21" s="5" t="s">
        <v>82</v>
      </c>
      <c r="G21" s="8">
        <v>3.9199999999999999E-2</v>
      </c>
    </row>
    <row r="22" spans="1:7">
      <c r="A22" s="6">
        <v>45297</v>
      </c>
      <c r="B22" s="7">
        <v>24010.6</v>
      </c>
      <c r="C22" s="7">
        <v>23337.9</v>
      </c>
      <c r="D22" s="7">
        <v>24174</v>
      </c>
      <c r="E22" s="7">
        <v>21281.45</v>
      </c>
      <c r="F22" s="5" t="s">
        <v>83</v>
      </c>
      <c r="G22" s="8">
        <v>6.5699999999999995E-2</v>
      </c>
    </row>
    <row r="23" spans="1:7">
      <c r="A23" s="6">
        <v>45296</v>
      </c>
      <c r="B23" s="7">
        <v>22530.7</v>
      </c>
      <c r="C23" s="7">
        <v>22567.85</v>
      </c>
      <c r="D23" s="7">
        <v>23110.799999999999</v>
      </c>
      <c r="E23" s="7">
        <v>21821.05</v>
      </c>
      <c r="F23" s="5" t="s">
        <v>84</v>
      </c>
      <c r="G23" s="8">
        <v>-3.3E-3</v>
      </c>
    </row>
    <row r="24" spans="1:7">
      <c r="A24" s="6">
        <v>45295</v>
      </c>
      <c r="B24" s="7">
        <v>22604.85</v>
      </c>
      <c r="C24" s="7">
        <v>22455</v>
      </c>
      <c r="D24" s="7">
        <v>22783.35</v>
      </c>
      <c r="E24" s="7">
        <v>21777.65</v>
      </c>
      <c r="F24" s="5" t="s">
        <v>72</v>
      </c>
      <c r="G24" s="8">
        <v>1.24E-2</v>
      </c>
    </row>
    <row r="25" spans="1:7">
      <c r="A25" s="6">
        <v>45294</v>
      </c>
      <c r="B25" s="7">
        <v>22326.9</v>
      </c>
      <c r="C25" s="7">
        <v>22048.3</v>
      </c>
      <c r="D25" s="7">
        <v>22526.6</v>
      </c>
      <c r="E25" s="7">
        <v>21710.2</v>
      </c>
      <c r="F25" s="5" t="s">
        <v>85</v>
      </c>
      <c r="G25" s="8">
        <v>1.5699999999999999E-2</v>
      </c>
    </row>
    <row r="26" spans="1:7">
      <c r="A26" s="6">
        <v>45293</v>
      </c>
      <c r="B26" s="7">
        <v>21982.799999999999</v>
      </c>
      <c r="C26" s="7">
        <v>21780.65</v>
      </c>
      <c r="D26" s="7">
        <v>22297.5</v>
      </c>
      <c r="E26" s="7">
        <v>21530.2</v>
      </c>
      <c r="F26" s="5" t="s">
        <v>86</v>
      </c>
      <c r="G26" s="8">
        <v>1.18E-2</v>
      </c>
    </row>
    <row r="27" spans="1:7">
      <c r="A27" s="6">
        <v>45292</v>
      </c>
      <c r="B27" s="7">
        <v>21725.7</v>
      </c>
      <c r="C27" s="7">
        <v>21727.75</v>
      </c>
      <c r="D27" s="7">
        <v>22124.15</v>
      </c>
      <c r="E27" s="7">
        <v>21137.200000000001</v>
      </c>
      <c r="F27" s="5" t="s">
        <v>87</v>
      </c>
      <c r="G27" s="8">
        <v>-2.9999999999999997E-4</v>
      </c>
    </row>
    <row r="28" spans="1:7">
      <c r="A28" s="6">
        <v>44938</v>
      </c>
      <c r="B28" s="7">
        <v>21731.4</v>
      </c>
      <c r="C28" s="7">
        <v>20194.099999999999</v>
      </c>
      <c r="D28" s="7">
        <v>21801.45</v>
      </c>
      <c r="E28" s="7">
        <v>20183.7</v>
      </c>
      <c r="F28" s="5" t="s">
        <v>88</v>
      </c>
      <c r="G28" s="8">
        <v>7.9399999999999998E-2</v>
      </c>
    </row>
    <row r="29" spans="1:7">
      <c r="A29" s="6">
        <v>44937</v>
      </c>
      <c r="B29" s="7">
        <v>20133.150000000001</v>
      </c>
      <c r="C29" s="7">
        <v>19064.05</v>
      </c>
      <c r="D29" s="7">
        <v>20158.7</v>
      </c>
      <c r="E29" s="7">
        <v>18973.7</v>
      </c>
      <c r="F29" s="5" t="s">
        <v>89</v>
      </c>
      <c r="G29" s="8">
        <v>5.5199999999999999E-2</v>
      </c>
    </row>
    <row r="30" spans="1:7">
      <c r="A30" s="6">
        <v>44936</v>
      </c>
      <c r="B30" s="7">
        <v>19079.599999999999</v>
      </c>
      <c r="C30" s="7">
        <v>19622.400000000001</v>
      </c>
      <c r="D30" s="7">
        <v>19849.75</v>
      </c>
      <c r="E30" s="7">
        <v>18837.849999999999</v>
      </c>
      <c r="F30" s="5" t="s">
        <v>90</v>
      </c>
      <c r="G30" s="8">
        <v>-2.8400000000000002E-2</v>
      </c>
    </row>
    <row r="31" spans="1:7">
      <c r="A31" s="6">
        <v>44935</v>
      </c>
      <c r="B31" s="7">
        <v>19638.3</v>
      </c>
      <c r="C31" s="7">
        <v>19258.150000000001</v>
      </c>
      <c r="D31" s="7">
        <v>20222.45</v>
      </c>
      <c r="E31" s="7">
        <v>19255.7</v>
      </c>
      <c r="F31" s="5" t="s">
        <v>91</v>
      </c>
      <c r="G31" s="8">
        <v>0.02</v>
      </c>
    </row>
    <row r="32" spans="1:7">
      <c r="A32" s="6">
        <v>44934</v>
      </c>
      <c r="B32" s="7">
        <v>19253.8</v>
      </c>
      <c r="C32" s="7">
        <v>19784</v>
      </c>
      <c r="D32" s="7">
        <v>19795.599999999999</v>
      </c>
      <c r="E32" s="7">
        <v>19223.650000000001</v>
      </c>
      <c r="F32" s="5" t="s">
        <v>92</v>
      </c>
      <c r="G32" s="8">
        <v>-2.53E-2</v>
      </c>
    </row>
    <row r="33" spans="1:7">
      <c r="A33" s="6">
        <v>44933</v>
      </c>
      <c r="B33" s="7">
        <v>19753.8</v>
      </c>
      <c r="C33" s="7">
        <v>19246.5</v>
      </c>
      <c r="D33" s="7">
        <v>19991.849999999999</v>
      </c>
      <c r="E33" s="7">
        <v>19234.400000000001</v>
      </c>
      <c r="F33" s="5" t="s">
        <v>93</v>
      </c>
      <c r="G33" s="8">
        <v>2.9399999999999999E-2</v>
      </c>
    </row>
    <row r="34" spans="1:7">
      <c r="A34" s="6">
        <v>44932</v>
      </c>
      <c r="B34" s="7">
        <v>19189.05</v>
      </c>
      <c r="C34" s="7">
        <v>18579.400000000001</v>
      </c>
      <c r="D34" s="7">
        <v>19201.7</v>
      </c>
      <c r="E34" s="7">
        <v>18464.55</v>
      </c>
      <c r="F34" s="5" t="s">
        <v>94</v>
      </c>
      <c r="G34" s="8">
        <v>3.5299999999999998E-2</v>
      </c>
    </row>
    <row r="35" spans="1:7">
      <c r="A35" s="6">
        <v>44931</v>
      </c>
      <c r="B35" s="7">
        <v>18534.400000000001</v>
      </c>
      <c r="C35" s="7">
        <v>18124.8</v>
      </c>
      <c r="D35" s="7">
        <v>18662.45</v>
      </c>
      <c r="E35" s="7">
        <v>18042.400000000001</v>
      </c>
      <c r="F35" s="5" t="s">
        <v>95</v>
      </c>
      <c r="G35" s="8">
        <v>2.5999999999999999E-2</v>
      </c>
    </row>
    <row r="36" spans="1:7">
      <c r="A36" s="6">
        <v>44930</v>
      </c>
      <c r="B36" s="7">
        <v>18065</v>
      </c>
      <c r="C36" s="7">
        <v>17427.95</v>
      </c>
      <c r="D36" s="7">
        <v>18089.150000000001</v>
      </c>
      <c r="E36" s="7">
        <v>17312.75</v>
      </c>
      <c r="F36" s="5" t="s">
        <v>96</v>
      </c>
      <c r="G36" s="8">
        <v>4.0599999999999997E-2</v>
      </c>
    </row>
    <row r="37" spans="1:7">
      <c r="A37" s="6">
        <v>44929</v>
      </c>
      <c r="B37" s="7">
        <v>17359.75</v>
      </c>
      <c r="C37" s="7">
        <v>17360.099999999999</v>
      </c>
      <c r="D37" s="7">
        <v>17799.95</v>
      </c>
      <c r="E37" s="7">
        <v>16828.349999999999</v>
      </c>
      <c r="F37" s="5" t="s">
        <v>97</v>
      </c>
      <c r="G37" s="8">
        <v>3.2000000000000002E-3</v>
      </c>
    </row>
    <row r="38" spans="1:7">
      <c r="A38" s="6">
        <v>44928</v>
      </c>
      <c r="B38" s="7">
        <v>17303.95</v>
      </c>
      <c r="C38" s="7">
        <v>17811.599999999999</v>
      </c>
      <c r="D38" s="7">
        <v>18134.75</v>
      </c>
      <c r="E38" s="7">
        <v>17255.2</v>
      </c>
      <c r="F38" s="5" t="s">
        <v>98</v>
      </c>
      <c r="G38" s="8">
        <v>-2.0299999999999999E-2</v>
      </c>
    </row>
    <row r="39" spans="1:7">
      <c r="A39" s="6">
        <v>44927</v>
      </c>
      <c r="B39" s="7">
        <v>17662.150000000001</v>
      </c>
      <c r="C39" s="7">
        <v>18131.7</v>
      </c>
      <c r="D39" s="7">
        <v>18251.95</v>
      </c>
      <c r="E39" s="7">
        <v>17405.55</v>
      </c>
      <c r="F39" s="5" t="s">
        <v>99</v>
      </c>
      <c r="G39" s="8">
        <v>-2.4500000000000001E-2</v>
      </c>
    </row>
    <row r="40" spans="1:7">
      <c r="A40" s="6">
        <v>44573</v>
      </c>
      <c r="B40" s="7">
        <v>18105.3</v>
      </c>
      <c r="C40" s="7">
        <v>18871.95</v>
      </c>
      <c r="D40" s="7">
        <v>18887.599999999999</v>
      </c>
      <c r="E40" s="7">
        <v>17774.25</v>
      </c>
      <c r="F40" s="5" t="s">
        <v>100</v>
      </c>
      <c r="G40" s="8">
        <v>-3.4799999999999998E-2</v>
      </c>
    </row>
    <row r="41" spans="1:7">
      <c r="A41" s="6">
        <v>44572</v>
      </c>
      <c r="B41" s="7">
        <v>18758.349999999999</v>
      </c>
      <c r="C41" s="7">
        <v>18130.7</v>
      </c>
      <c r="D41" s="7">
        <v>18816.05</v>
      </c>
      <c r="E41" s="7">
        <v>17959.2</v>
      </c>
      <c r="F41" s="5" t="s">
        <v>101</v>
      </c>
      <c r="G41" s="8">
        <v>4.1399999999999999E-2</v>
      </c>
    </row>
    <row r="42" spans="1:7">
      <c r="A42" s="6">
        <v>44571</v>
      </c>
      <c r="B42" s="7">
        <v>18012.2</v>
      </c>
      <c r="C42" s="7">
        <v>17102.099999999999</v>
      </c>
      <c r="D42" s="7">
        <v>18022.8</v>
      </c>
      <c r="E42" s="7">
        <v>16855.55</v>
      </c>
      <c r="F42" s="5" t="s">
        <v>102</v>
      </c>
      <c r="G42" s="8">
        <v>5.3699999999999998E-2</v>
      </c>
    </row>
    <row r="43" spans="1:7">
      <c r="A43" s="6">
        <v>44570</v>
      </c>
      <c r="B43" s="7">
        <v>17094.349999999999</v>
      </c>
      <c r="C43" s="7">
        <v>17485.7</v>
      </c>
      <c r="D43" s="7">
        <v>18096.150000000001</v>
      </c>
      <c r="E43" s="7">
        <v>16747.7</v>
      </c>
      <c r="F43" s="5" t="s">
        <v>103</v>
      </c>
      <c r="G43" s="8">
        <v>-3.7400000000000003E-2</v>
      </c>
    </row>
    <row r="44" spans="1:7">
      <c r="A44" s="6">
        <v>44569</v>
      </c>
      <c r="B44" s="7">
        <v>17759.3</v>
      </c>
      <c r="C44" s="7">
        <v>17243.2</v>
      </c>
      <c r="D44" s="7">
        <v>17992.2</v>
      </c>
      <c r="E44" s="7">
        <v>17154.8</v>
      </c>
      <c r="F44" s="5" t="s">
        <v>104</v>
      </c>
      <c r="G44" s="8">
        <v>3.5000000000000003E-2</v>
      </c>
    </row>
    <row r="45" spans="1:7">
      <c r="A45" s="6">
        <v>44568</v>
      </c>
      <c r="B45" s="7">
        <v>17158.25</v>
      </c>
      <c r="C45" s="7">
        <v>15703.7</v>
      </c>
      <c r="D45" s="7">
        <v>17172.8</v>
      </c>
      <c r="E45" s="7">
        <v>15511.05</v>
      </c>
      <c r="F45" s="5" t="s">
        <v>105</v>
      </c>
      <c r="G45" s="8">
        <v>8.7300000000000003E-2</v>
      </c>
    </row>
    <row r="46" spans="1:7">
      <c r="A46" s="6">
        <v>44567</v>
      </c>
      <c r="B46" s="7">
        <v>15780.25</v>
      </c>
      <c r="C46" s="7">
        <v>16594.400000000001</v>
      </c>
      <c r="D46" s="7">
        <v>16793.849999999999</v>
      </c>
      <c r="E46" s="7">
        <v>15183.4</v>
      </c>
      <c r="F46" s="5" t="s">
        <v>106</v>
      </c>
      <c r="G46" s="8">
        <v>-4.8500000000000001E-2</v>
      </c>
    </row>
    <row r="47" spans="1:7">
      <c r="A47" s="6">
        <v>44566</v>
      </c>
      <c r="B47" s="7">
        <v>16584.55</v>
      </c>
      <c r="C47" s="7">
        <v>16924.45</v>
      </c>
      <c r="D47" s="7">
        <v>17132.849999999999</v>
      </c>
      <c r="E47" s="7">
        <v>15735.75</v>
      </c>
      <c r="F47" s="5" t="s">
        <v>107</v>
      </c>
      <c r="G47" s="8">
        <v>-3.0300000000000001E-2</v>
      </c>
    </row>
    <row r="48" spans="1:7">
      <c r="A48" s="6">
        <v>44565</v>
      </c>
      <c r="B48" s="7">
        <v>17102.55</v>
      </c>
      <c r="C48" s="7">
        <v>17436.900000000001</v>
      </c>
      <c r="D48" s="7">
        <v>18114.650000000001</v>
      </c>
      <c r="E48" s="7">
        <v>16824.7</v>
      </c>
      <c r="F48" s="5" t="s">
        <v>108</v>
      </c>
      <c r="G48" s="8">
        <v>-2.07E-2</v>
      </c>
    </row>
    <row r="49" spans="1:7">
      <c r="A49" s="6">
        <v>44564</v>
      </c>
      <c r="B49" s="7">
        <v>17464.75</v>
      </c>
      <c r="C49" s="7">
        <v>16593.099999999999</v>
      </c>
      <c r="D49" s="7">
        <v>17559.8</v>
      </c>
      <c r="E49" s="7">
        <v>15671.45</v>
      </c>
      <c r="F49" s="5" t="s">
        <v>109</v>
      </c>
      <c r="G49" s="8">
        <v>3.9899999999999998E-2</v>
      </c>
    </row>
    <row r="50" spans="1:7">
      <c r="A50" s="6">
        <v>44563</v>
      </c>
      <c r="B50" s="7">
        <v>16793.900000000001</v>
      </c>
      <c r="C50" s="7">
        <v>17529.45</v>
      </c>
      <c r="D50" s="7">
        <v>17794.599999999999</v>
      </c>
      <c r="E50" s="7">
        <v>16203.25</v>
      </c>
      <c r="F50" s="5" t="s">
        <v>97</v>
      </c>
      <c r="G50" s="8">
        <v>-3.15E-2</v>
      </c>
    </row>
    <row r="51" spans="1:7">
      <c r="A51" s="6">
        <v>44562</v>
      </c>
      <c r="B51" s="7">
        <v>17339.849999999999</v>
      </c>
      <c r="C51" s="7">
        <v>17387.150000000001</v>
      </c>
      <c r="D51" s="7">
        <v>18350.95</v>
      </c>
      <c r="E51" s="7">
        <v>16836.8</v>
      </c>
      <c r="F51" s="5" t="s">
        <v>110</v>
      </c>
      <c r="G51" s="8">
        <v>-8.0000000000000004E-4</v>
      </c>
    </row>
    <row r="52" spans="1:7">
      <c r="A52" s="6">
        <v>44208</v>
      </c>
      <c r="B52" s="7">
        <v>17354.05</v>
      </c>
      <c r="C52" s="7">
        <v>17104.400000000001</v>
      </c>
      <c r="D52" s="7">
        <v>17639.5</v>
      </c>
      <c r="E52" s="7">
        <v>16410.2</v>
      </c>
      <c r="F52" s="5" t="s">
        <v>68</v>
      </c>
      <c r="G52" s="8">
        <v>2.18E-2</v>
      </c>
    </row>
    <row r="53" spans="1:7">
      <c r="A53" s="6">
        <v>44207</v>
      </c>
      <c r="B53" s="7">
        <v>16983.2</v>
      </c>
      <c r="C53" s="7">
        <v>17783.150000000001</v>
      </c>
      <c r="D53" s="7">
        <v>18210.150000000001</v>
      </c>
      <c r="E53" s="7">
        <v>16782.400000000001</v>
      </c>
      <c r="F53" s="5" t="s">
        <v>111</v>
      </c>
      <c r="G53" s="8">
        <v>-3.9E-2</v>
      </c>
    </row>
    <row r="54" spans="1:7">
      <c r="A54" s="6">
        <v>44206</v>
      </c>
      <c r="B54" s="7">
        <v>17671.650000000001</v>
      </c>
      <c r="C54" s="7">
        <v>17531.900000000001</v>
      </c>
      <c r="D54" s="7">
        <v>18604.45</v>
      </c>
      <c r="E54" s="7">
        <v>17452.900000000001</v>
      </c>
      <c r="F54" s="5" t="s">
        <v>112</v>
      </c>
      <c r="G54" s="8">
        <v>3.0000000000000001E-3</v>
      </c>
    </row>
    <row r="55" spans="1:7">
      <c r="A55" s="6">
        <v>44205</v>
      </c>
      <c r="B55" s="7">
        <v>17618.150000000001</v>
      </c>
      <c r="C55" s="7">
        <v>17185.599999999999</v>
      </c>
      <c r="D55" s="7">
        <v>17947.650000000001</v>
      </c>
      <c r="E55" s="7">
        <v>17055.05</v>
      </c>
      <c r="F55" s="5" t="s">
        <v>113</v>
      </c>
      <c r="G55" s="8">
        <v>2.8400000000000002E-2</v>
      </c>
    </row>
    <row r="56" spans="1:7">
      <c r="A56" s="6">
        <v>44204</v>
      </c>
      <c r="B56" s="7">
        <v>17132.2</v>
      </c>
      <c r="C56" s="7">
        <v>15874.9</v>
      </c>
      <c r="D56" s="7">
        <v>17153.5</v>
      </c>
      <c r="E56" s="7">
        <v>15834.65</v>
      </c>
      <c r="F56" s="5" t="s">
        <v>114</v>
      </c>
      <c r="G56" s="8">
        <v>8.6900000000000005E-2</v>
      </c>
    </row>
    <row r="57" spans="1:7">
      <c r="A57" s="6">
        <v>44203</v>
      </c>
      <c r="B57" s="7">
        <v>15763.05</v>
      </c>
      <c r="C57" s="7">
        <v>15755.05</v>
      </c>
      <c r="D57" s="7">
        <v>15962.25</v>
      </c>
      <c r="E57" s="7">
        <v>15513.45</v>
      </c>
      <c r="F57" s="5" t="s">
        <v>115</v>
      </c>
      <c r="G57" s="8">
        <v>2.5999999999999999E-3</v>
      </c>
    </row>
    <row r="58" spans="1:7">
      <c r="A58" s="6">
        <v>44202</v>
      </c>
      <c r="B58" s="7">
        <v>15721.5</v>
      </c>
      <c r="C58" s="7">
        <v>15629.65</v>
      </c>
      <c r="D58" s="7">
        <v>15915.65</v>
      </c>
      <c r="E58" s="7">
        <v>15450.9</v>
      </c>
      <c r="F58" s="5" t="s">
        <v>116</v>
      </c>
      <c r="G58" s="8">
        <v>8.8999999999999999E-3</v>
      </c>
    </row>
    <row r="59" spans="1:7">
      <c r="A59" s="6">
        <v>44201</v>
      </c>
      <c r="B59" s="7">
        <v>15582.8</v>
      </c>
      <c r="C59" s="7">
        <v>14481.05</v>
      </c>
      <c r="D59" s="7">
        <v>15606.35</v>
      </c>
      <c r="E59" s="7">
        <v>14416.25</v>
      </c>
      <c r="F59" s="5" t="s">
        <v>117</v>
      </c>
      <c r="G59" s="8">
        <v>6.5000000000000002E-2</v>
      </c>
    </row>
    <row r="60" spans="1:7">
      <c r="A60" s="6">
        <v>44200</v>
      </c>
      <c r="B60" s="7">
        <v>14631.1</v>
      </c>
      <c r="C60" s="7">
        <v>14798.4</v>
      </c>
      <c r="D60" s="7">
        <v>15044.35</v>
      </c>
      <c r="E60" s="7">
        <v>14151.4</v>
      </c>
      <c r="F60" s="5" t="s">
        <v>118</v>
      </c>
      <c r="G60" s="8">
        <v>-4.1000000000000003E-3</v>
      </c>
    </row>
    <row r="61" spans="1:7">
      <c r="A61" s="6">
        <v>44199</v>
      </c>
      <c r="B61" s="7">
        <v>14690.7</v>
      </c>
      <c r="C61" s="7">
        <v>14702.5</v>
      </c>
      <c r="D61" s="7">
        <v>15336.3</v>
      </c>
      <c r="E61" s="7">
        <v>14264.4</v>
      </c>
      <c r="F61" s="5" t="s">
        <v>119</v>
      </c>
      <c r="G61" s="8">
        <v>1.11E-2</v>
      </c>
    </row>
    <row r="62" spans="1:7">
      <c r="A62" s="6">
        <v>44198</v>
      </c>
      <c r="B62" s="7">
        <v>14529.15</v>
      </c>
      <c r="C62" s="7">
        <v>13758.6</v>
      </c>
      <c r="D62" s="7">
        <v>15431.75</v>
      </c>
      <c r="E62" s="7">
        <v>13661.75</v>
      </c>
      <c r="F62" s="5" t="s">
        <v>120</v>
      </c>
      <c r="G62" s="8">
        <v>6.5600000000000006E-2</v>
      </c>
    </row>
    <row r="63" spans="1:7">
      <c r="A63" s="6">
        <v>44197</v>
      </c>
      <c r="B63" s="7">
        <v>13634.6</v>
      </c>
      <c r="C63" s="7">
        <v>13996.1</v>
      </c>
      <c r="D63" s="7">
        <v>14753.55</v>
      </c>
      <c r="E63" s="7">
        <v>13596.75</v>
      </c>
      <c r="F63" s="5" t="s">
        <v>121</v>
      </c>
      <c r="G63" s="8">
        <v>-2.4799999999999999E-2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0D547-E5BC-40CC-8772-1A8E2E4C6C08}">
  <dimension ref="A1:B22"/>
  <sheetViews>
    <sheetView workbookViewId="0">
      <selection activeCell="A3" sqref="A3"/>
    </sheetView>
  </sheetViews>
  <sheetFormatPr defaultRowHeight="13.8"/>
  <cols>
    <col min="1" max="1" width="14.1640625" bestFit="1" customWidth="1"/>
  </cols>
  <sheetData>
    <row r="1" spans="1:2" ht="24">
      <c r="A1" s="50" t="s">
        <v>218</v>
      </c>
    </row>
    <row r="2" spans="1:2" ht="24">
      <c r="A2" s="50"/>
    </row>
    <row r="3" spans="1:2">
      <c r="A3" s="34">
        <v>46030</v>
      </c>
      <c r="B3" s="26" t="s">
        <v>179</v>
      </c>
    </row>
    <row r="4" spans="1:2" ht="16.2">
      <c r="A4" t="s">
        <v>209</v>
      </c>
      <c r="B4" s="51">
        <v>6.6230000000000002</v>
      </c>
    </row>
    <row r="5" spans="1:2">
      <c r="B5" s="26"/>
    </row>
    <row r="6" spans="1:2">
      <c r="B6" s="26"/>
    </row>
    <row r="7" spans="1:2">
      <c r="B7" s="26"/>
    </row>
    <row r="8" spans="1:2">
      <c r="B8" s="26"/>
    </row>
    <row r="9" spans="1:2">
      <c r="B9" s="26"/>
    </row>
    <row r="10" spans="1:2">
      <c r="B10" s="26"/>
    </row>
    <row r="11" spans="1:2">
      <c r="B11" s="26"/>
    </row>
    <row r="12" spans="1:2">
      <c r="B12" s="26"/>
    </row>
    <row r="13" spans="1:2">
      <c r="B13" s="26"/>
    </row>
    <row r="14" spans="1:2">
      <c r="B14" s="26"/>
    </row>
    <row r="15" spans="1:2">
      <c r="B15" s="26"/>
    </row>
    <row r="16" spans="1:2">
      <c r="B16" s="26"/>
    </row>
    <row r="17" spans="2:2">
      <c r="B17" s="26"/>
    </row>
    <row r="18" spans="2:2">
      <c r="B18" s="26"/>
    </row>
    <row r="19" spans="2:2">
      <c r="B19" s="26"/>
    </row>
    <row r="20" spans="2:2">
      <c r="B20" s="26"/>
    </row>
    <row r="21" spans="2:2">
      <c r="B21" s="26"/>
    </row>
    <row r="22" spans="2:2">
      <c r="B22" s="26"/>
    </row>
  </sheetData>
  <hyperlinks>
    <hyperlink ref="B3" r:id="rId1" xr:uid="{B737C5B1-8D85-48CC-8D32-570DB041D8F6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DDM</vt:lpstr>
      <vt:lpstr>CAPM</vt:lpstr>
      <vt:lpstr>Monthly Vs Risk</vt:lpstr>
      <vt:lpstr>Dividend </vt:lpstr>
      <vt:lpstr>Adani Total Gas Stock Price His</vt:lpstr>
      <vt:lpstr>Nifty 50 Historical Data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Pandey, Akhilesh</dc:creator>
  <cp:lastModifiedBy>Pandey, Akhilesh</cp:lastModifiedBy>
  <dcterms:created xsi:type="dcterms:W3CDTF">2026-01-07T20:26:40Z</dcterms:created>
  <dcterms:modified xsi:type="dcterms:W3CDTF">2026-01-11T12:04:17Z</dcterms:modified>
</cp:coreProperties>
</file>