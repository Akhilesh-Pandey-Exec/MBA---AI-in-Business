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atatechnologies-my.sharepoint.com/personal/app918586_tatatechnologies_com/Documents/Documents/akhilesh/Personal/MBA/MBA-in-AI-for-Business/SECOND SEMESTER 2024-25/Financial Management (S1-25_MBACCZG521)/EC1/"/>
    </mc:Choice>
  </mc:AlternateContent>
  <xr:revisionPtr revIDLastSave="32" documentId="13_ncr:1_{63C10288-5442-488E-B68F-CA8D0C571AB7}" xr6:coauthVersionLast="47" xr6:coauthVersionMax="47" xr10:uidLastSave="{4790C43E-2706-48B4-8EE6-D9D6E91CAB04}"/>
  <bookViews>
    <workbookView xWindow="-108" yWindow="-108" windowWidth="23256" windowHeight="12456" activeTab="1" xr2:uid="{00000000-000D-0000-FFFF-FFFF00000000}"/>
  </bookViews>
  <sheets>
    <sheet name="Assignment" sheetId="38" r:id="rId1"/>
    <sheet name="ATGL_Finanacial Ratios" sheetId="40" r:id="rId2"/>
    <sheet name="Analysis" sheetId="41" r:id="rId3"/>
    <sheet name="ATFL_BS_Consolidated" sheetId="36" r:id="rId4"/>
    <sheet name="ATGL_P&amp;L_Consolidated" sheetId="37" r:id="rId5"/>
    <sheet name="Peers&amp;Competitor" sheetId="4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1" l="1"/>
  <c r="B5" i="41"/>
  <c r="C9" i="41"/>
  <c r="D9" i="41"/>
  <c r="E9" i="41"/>
  <c r="F9" i="41"/>
  <c r="G9" i="41"/>
  <c r="H9" i="41"/>
  <c r="I9" i="41"/>
  <c r="J9" i="41"/>
  <c r="C10" i="41"/>
  <c r="D10" i="41"/>
  <c r="E10" i="41"/>
  <c r="F10" i="41"/>
  <c r="G10" i="41"/>
  <c r="H10" i="41"/>
  <c r="I10" i="41"/>
  <c r="J10" i="41"/>
  <c r="C11" i="41"/>
  <c r="D11" i="41"/>
  <c r="E11" i="41"/>
  <c r="F11" i="41"/>
  <c r="G11" i="41"/>
  <c r="H11" i="41"/>
  <c r="I11" i="41"/>
  <c r="J11" i="41"/>
  <c r="B14" i="41"/>
  <c r="B13" i="41"/>
  <c r="B12" i="41"/>
  <c r="B11" i="41"/>
  <c r="B10" i="41"/>
  <c r="B9" i="41"/>
  <c r="D12" i="40"/>
  <c r="E12" i="40"/>
  <c r="F12" i="40"/>
  <c r="G12" i="40"/>
  <c r="H12" i="40"/>
  <c r="I12" i="40"/>
  <c r="J12" i="40"/>
  <c r="B35" i="41"/>
  <c r="B34" i="41"/>
  <c r="B29" i="41"/>
  <c r="B30" i="41"/>
  <c r="B27" i="41"/>
  <c r="B26" i="41"/>
  <c r="B25" i="41"/>
  <c r="C20" i="41"/>
  <c r="D20" i="41"/>
  <c r="E20" i="41"/>
  <c r="F20" i="41"/>
  <c r="G20" i="41"/>
  <c r="H20" i="41"/>
  <c r="I20" i="41"/>
  <c r="J20" i="41"/>
  <c r="B21" i="41"/>
  <c r="B20" i="41"/>
  <c r="B19" i="41"/>
  <c r="B18" i="41"/>
  <c r="D67" i="40"/>
  <c r="E67" i="40"/>
  <c r="F67" i="40"/>
  <c r="G67" i="40"/>
  <c r="H67" i="40"/>
  <c r="I67" i="40"/>
  <c r="J67" i="40"/>
  <c r="C67" i="40"/>
  <c r="D46" i="40"/>
  <c r="E46" i="40"/>
  <c r="F46" i="40"/>
  <c r="G46" i="40"/>
  <c r="H46" i="40"/>
  <c r="I46" i="40"/>
  <c r="J46" i="40"/>
  <c r="C46" i="40"/>
  <c r="D35" i="40"/>
  <c r="E35" i="40"/>
  <c r="F35" i="40"/>
  <c r="G35" i="40"/>
  <c r="H35" i="40"/>
  <c r="I35" i="40"/>
  <c r="J35" i="40"/>
  <c r="C35" i="40"/>
  <c r="C12" i="40"/>
  <c r="B4" i="41"/>
  <c r="B3" i="41"/>
  <c r="J72" i="40" l="1"/>
  <c r="J71" i="40" s="1"/>
  <c r="J35" i="41" s="1"/>
  <c r="I72" i="40"/>
  <c r="H72" i="40"/>
  <c r="H71" i="40" s="1"/>
  <c r="H35" i="41" s="1"/>
  <c r="G72" i="40"/>
  <c r="F72" i="40"/>
  <c r="E72" i="40"/>
  <c r="D72" i="40"/>
  <c r="C72" i="40"/>
  <c r="I71" i="40"/>
  <c r="I35" i="41" s="1"/>
  <c r="G71" i="40"/>
  <c r="G35" i="41" s="1"/>
  <c r="F71" i="40"/>
  <c r="F35" i="41" s="1"/>
  <c r="E71" i="40"/>
  <c r="E35" i="41" s="1"/>
  <c r="D71" i="40"/>
  <c r="D35" i="41" s="1"/>
  <c r="C71" i="40"/>
  <c r="C35" i="41" s="1"/>
  <c r="J65" i="40"/>
  <c r="I65" i="40"/>
  <c r="H65" i="40"/>
  <c r="H64" i="40" s="1"/>
  <c r="H30" i="41" s="1"/>
  <c r="G65" i="40"/>
  <c r="F65" i="40"/>
  <c r="E65" i="40"/>
  <c r="D65" i="40"/>
  <c r="C65" i="40"/>
  <c r="J62" i="40"/>
  <c r="I62" i="40"/>
  <c r="H62" i="40"/>
  <c r="G62" i="40"/>
  <c r="F62" i="40"/>
  <c r="E62" i="40"/>
  <c r="D62" i="40"/>
  <c r="C62" i="40"/>
  <c r="J59" i="40"/>
  <c r="I59" i="40"/>
  <c r="H59" i="40"/>
  <c r="G59" i="40"/>
  <c r="F59" i="40"/>
  <c r="E59" i="40"/>
  <c r="D59" i="40"/>
  <c r="C59" i="40"/>
  <c r="J53" i="40"/>
  <c r="I53" i="40"/>
  <c r="H53" i="40"/>
  <c r="G53" i="40"/>
  <c r="G51" i="40" s="1"/>
  <c r="F53" i="40"/>
  <c r="F51" i="40" s="1"/>
  <c r="E53" i="40"/>
  <c r="E51" i="40" s="1"/>
  <c r="D53" i="40"/>
  <c r="C53" i="40"/>
  <c r="J52" i="40"/>
  <c r="I52" i="40"/>
  <c r="H52" i="40"/>
  <c r="G52" i="40"/>
  <c r="F52" i="40"/>
  <c r="E52" i="40"/>
  <c r="D52" i="40"/>
  <c r="C52" i="40"/>
  <c r="C51" i="40" s="1"/>
  <c r="D51" i="40"/>
  <c r="J49" i="40"/>
  <c r="I49" i="40"/>
  <c r="H49" i="40"/>
  <c r="G49" i="40"/>
  <c r="F49" i="40"/>
  <c r="E49" i="40"/>
  <c r="D49" i="40"/>
  <c r="C49" i="40"/>
  <c r="J48" i="40"/>
  <c r="I48" i="40"/>
  <c r="H48" i="40"/>
  <c r="G48" i="40"/>
  <c r="F48" i="40"/>
  <c r="E48" i="40"/>
  <c r="D48" i="40"/>
  <c r="C48" i="40"/>
  <c r="J42" i="40"/>
  <c r="I42" i="40"/>
  <c r="H42" i="40"/>
  <c r="G42" i="40"/>
  <c r="F42" i="40"/>
  <c r="E42" i="40"/>
  <c r="D42" i="40"/>
  <c r="C42" i="40"/>
  <c r="C39" i="40"/>
  <c r="C19" i="41" s="1"/>
  <c r="J38" i="40"/>
  <c r="J44" i="40" s="1"/>
  <c r="J21" i="41" s="1"/>
  <c r="I38" i="40"/>
  <c r="I39" i="40" s="1"/>
  <c r="I19" i="41" s="1"/>
  <c r="H38" i="40"/>
  <c r="G38" i="40"/>
  <c r="F38" i="40"/>
  <c r="F36" i="40" s="1"/>
  <c r="F18" i="41" s="1"/>
  <c r="E38" i="40"/>
  <c r="E36" i="40" s="1"/>
  <c r="E18" i="41" s="1"/>
  <c r="D38" i="40"/>
  <c r="D36" i="40" s="1"/>
  <c r="D18" i="41" s="1"/>
  <c r="C38" i="40"/>
  <c r="J37" i="40"/>
  <c r="I37" i="40"/>
  <c r="H37" i="40"/>
  <c r="G37" i="40"/>
  <c r="F37" i="40"/>
  <c r="E37" i="40"/>
  <c r="D37" i="40"/>
  <c r="C37" i="40"/>
  <c r="C44" i="40" s="1"/>
  <c r="C21" i="41" s="1"/>
  <c r="C36" i="40"/>
  <c r="C18" i="41" s="1"/>
  <c r="J32" i="40"/>
  <c r="I32" i="40"/>
  <c r="H32" i="40"/>
  <c r="G32" i="40"/>
  <c r="F32" i="40"/>
  <c r="E32" i="40"/>
  <c r="D32" i="40"/>
  <c r="C32" i="40"/>
  <c r="J29" i="40"/>
  <c r="I29" i="40"/>
  <c r="H29" i="40"/>
  <c r="G29" i="40"/>
  <c r="F29" i="40"/>
  <c r="E29" i="40"/>
  <c r="D29" i="40"/>
  <c r="C29" i="40"/>
  <c r="J24" i="40"/>
  <c r="J26" i="40" s="1"/>
  <c r="I24" i="40"/>
  <c r="I26" i="40" s="1"/>
  <c r="H24" i="40"/>
  <c r="H26" i="40" s="1"/>
  <c r="G24" i="40"/>
  <c r="G26" i="40" s="1"/>
  <c r="F24" i="40"/>
  <c r="F26" i="40" s="1"/>
  <c r="E24" i="40"/>
  <c r="E26" i="40" s="1"/>
  <c r="D24" i="40"/>
  <c r="D26" i="40" s="1"/>
  <c r="C24" i="40"/>
  <c r="C26" i="40" s="1"/>
  <c r="J21" i="40"/>
  <c r="I21" i="40"/>
  <c r="H21" i="40"/>
  <c r="G21" i="40"/>
  <c r="F21" i="40"/>
  <c r="E21" i="40"/>
  <c r="D21" i="40"/>
  <c r="C21" i="40"/>
  <c r="J20" i="40"/>
  <c r="I20" i="40"/>
  <c r="I19" i="40" s="1"/>
  <c r="H20" i="40"/>
  <c r="H19" i="40" s="1"/>
  <c r="G20" i="40"/>
  <c r="F20" i="40"/>
  <c r="F23" i="40" s="1"/>
  <c r="E20" i="40"/>
  <c r="E23" i="40" s="1"/>
  <c r="D20" i="40"/>
  <c r="D23" i="40" s="1"/>
  <c r="C20" i="40"/>
  <c r="C23" i="40" s="1"/>
  <c r="H18" i="40"/>
  <c r="H17" i="40" s="1"/>
  <c r="G18" i="40"/>
  <c r="G17" i="40" s="1"/>
  <c r="J16" i="40"/>
  <c r="I16" i="40"/>
  <c r="I18" i="40" s="1"/>
  <c r="H16" i="40"/>
  <c r="G16" i="40"/>
  <c r="F16" i="40"/>
  <c r="F18" i="40" s="1"/>
  <c r="F17" i="40" s="1"/>
  <c r="E16" i="40"/>
  <c r="E18" i="40" s="1"/>
  <c r="E41" i="40" s="1"/>
  <c r="D16" i="40"/>
  <c r="D18" i="40" s="1"/>
  <c r="D17" i="40" s="1"/>
  <c r="C16" i="40"/>
  <c r="C14" i="40" s="1"/>
  <c r="C13" i="40" s="1"/>
  <c r="J15" i="40"/>
  <c r="J63" i="40" s="1"/>
  <c r="I15" i="40"/>
  <c r="I14" i="40" s="1"/>
  <c r="I13" i="40" s="1"/>
  <c r="H15" i="40"/>
  <c r="G15" i="40"/>
  <c r="F15" i="40"/>
  <c r="E15" i="40"/>
  <c r="D15" i="40"/>
  <c r="C15" i="40"/>
  <c r="J10" i="40"/>
  <c r="I10" i="40"/>
  <c r="H10" i="40"/>
  <c r="H9" i="40" s="1"/>
  <c r="H5" i="41" s="1"/>
  <c r="G10" i="40"/>
  <c r="G9" i="40" s="1"/>
  <c r="G5" i="41" s="1"/>
  <c r="F10" i="40"/>
  <c r="F9" i="40" s="1"/>
  <c r="F5" i="41" s="1"/>
  <c r="E10" i="40"/>
  <c r="E9" i="40" s="1"/>
  <c r="E5" i="41" s="1"/>
  <c r="D10" i="40"/>
  <c r="D9" i="40" s="1"/>
  <c r="D5" i="41" s="1"/>
  <c r="C10" i="40"/>
  <c r="C9" i="40"/>
  <c r="C5" i="41" s="1"/>
  <c r="J8" i="40"/>
  <c r="I8" i="40"/>
  <c r="H8" i="40"/>
  <c r="H7" i="40" s="1"/>
  <c r="H4" i="41" s="1"/>
  <c r="G8" i="40"/>
  <c r="F8" i="40"/>
  <c r="E8" i="40"/>
  <c r="D8" i="40"/>
  <c r="C8" i="40"/>
  <c r="J6" i="40"/>
  <c r="I6" i="40"/>
  <c r="H6" i="40"/>
  <c r="G6" i="40"/>
  <c r="F6" i="40"/>
  <c r="E6" i="40"/>
  <c r="D6" i="40"/>
  <c r="C6" i="40"/>
  <c r="J5" i="40"/>
  <c r="I5" i="40"/>
  <c r="H5" i="40"/>
  <c r="H4" i="40" s="1"/>
  <c r="H3" i="41" s="1"/>
  <c r="G5" i="40"/>
  <c r="G4" i="40" s="1"/>
  <c r="G3" i="41" s="1"/>
  <c r="F5" i="40"/>
  <c r="F4" i="40" s="1"/>
  <c r="F3" i="41" s="1"/>
  <c r="E5" i="40"/>
  <c r="D5" i="40"/>
  <c r="C5" i="40"/>
  <c r="I7" i="40" l="1"/>
  <c r="I4" i="41" s="1"/>
  <c r="D39" i="40"/>
  <c r="D19" i="41" s="1"/>
  <c r="J7" i="40"/>
  <c r="J4" i="41" s="1"/>
  <c r="I4" i="40"/>
  <c r="I3" i="41" s="1"/>
  <c r="D44" i="40"/>
  <c r="D21" i="41" s="1"/>
  <c r="J4" i="40"/>
  <c r="J3" i="41" s="1"/>
  <c r="F44" i="40"/>
  <c r="F21" i="41" s="1"/>
  <c r="I9" i="40"/>
  <c r="I5" i="41" s="1"/>
  <c r="G39" i="40"/>
  <c r="G19" i="41" s="1"/>
  <c r="J9" i="40"/>
  <c r="J5" i="41" s="1"/>
  <c r="D64" i="40"/>
  <c r="D30" i="41" s="1"/>
  <c r="G7" i="40"/>
  <c r="G4" i="41" s="1"/>
  <c r="D54" i="40"/>
  <c r="D26" i="41"/>
  <c r="C54" i="40"/>
  <c r="C26" i="41"/>
  <c r="E22" i="40"/>
  <c r="F22" i="40"/>
  <c r="C61" i="40"/>
  <c r="C29" i="41" s="1"/>
  <c r="D61" i="40"/>
  <c r="D29" i="41" s="1"/>
  <c r="H44" i="40"/>
  <c r="H21" i="41" s="1"/>
  <c r="C47" i="40"/>
  <c r="H51" i="40"/>
  <c r="I44" i="40"/>
  <c r="I21" i="41" s="1"/>
  <c r="I51" i="40"/>
  <c r="G61" i="40"/>
  <c r="G29" i="41" s="1"/>
  <c r="J39" i="40"/>
  <c r="J19" i="41" s="1"/>
  <c r="E64" i="40"/>
  <c r="E30" i="41" s="1"/>
  <c r="J51" i="40"/>
  <c r="C7" i="40"/>
  <c r="C4" i="41" s="1"/>
  <c r="H61" i="40"/>
  <c r="H29" i="41" s="1"/>
  <c r="F64" i="40"/>
  <c r="F30" i="41" s="1"/>
  <c r="D7" i="40"/>
  <c r="D4" i="41" s="1"/>
  <c r="G47" i="40"/>
  <c r="C4" i="40"/>
  <c r="C3" i="41" s="1"/>
  <c r="E7" i="40"/>
  <c r="E4" i="41" s="1"/>
  <c r="H47" i="40"/>
  <c r="E54" i="40"/>
  <c r="E26" i="41"/>
  <c r="D4" i="40"/>
  <c r="D3" i="41" s="1"/>
  <c r="F7" i="40"/>
  <c r="F4" i="41" s="1"/>
  <c r="I64" i="40"/>
  <c r="I30" i="41" s="1"/>
  <c r="F54" i="40"/>
  <c r="F26" i="41"/>
  <c r="E4" i="40"/>
  <c r="E3" i="41" s="1"/>
  <c r="G44" i="40"/>
  <c r="G21" i="41" s="1"/>
  <c r="J64" i="40"/>
  <c r="J30" i="41" s="1"/>
  <c r="G54" i="40"/>
  <c r="G26" i="41"/>
  <c r="I31" i="40"/>
  <c r="I30" i="40" s="1"/>
  <c r="I14" i="41" s="1"/>
  <c r="I17" i="40"/>
  <c r="G19" i="40"/>
  <c r="J19" i="40"/>
  <c r="C28" i="40"/>
  <c r="C27" i="40" s="1"/>
  <c r="C13" i="41" s="1"/>
  <c r="G14" i="40"/>
  <c r="G13" i="40" s="1"/>
  <c r="I47" i="40"/>
  <c r="J14" i="40"/>
  <c r="J13" i="40" s="1"/>
  <c r="J47" i="40"/>
  <c r="C18" i="40"/>
  <c r="C17" i="40" s="1"/>
  <c r="I23" i="40"/>
  <c r="G64" i="40"/>
  <c r="G30" i="41" s="1"/>
  <c r="H23" i="40"/>
  <c r="H22" i="40" s="1"/>
  <c r="I63" i="40"/>
  <c r="E14" i="40"/>
  <c r="E13" i="40" s="1"/>
  <c r="F14" i="40"/>
  <c r="F13" i="40" s="1"/>
  <c r="E19" i="40"/>
  <c r="F19" i="40"/>
  <c r="I22" i="40"/>
  <c r="C22" i="40"/>
  <c r="D22" i="40"/>
  <c r="C58" i="40"/>
  <c r="C28" i="41" s="1"/>
  <c r="I61" i="40"/>
  <c r="I29" i="41" s="1"/>
  <c r="D58" i="40"/>
  <c r="D28" i="41" s="1"/>
  <c r="J61" i="40"/>
  <c r="J29" i="41" s="1"/>
  <c r="G23" i="40"/>
  <c r="G22" i="40" s="1"/>
  <c r="E58" i="40"/>
  <c r="E28" i="41" s="1"/>
  <c r="F58" i="40"/>
  <c r="F28" i="41" s="1"/>
  <c r="I58" i="40"/>
  <c r="I28" i="41" s="1"/>
  <c r="J58" i="40"/>
  <c r="J28" i="41" s="1"/>
  <c r="J18" i="40"/>
  <c r="D28" i="40"/>
  <c r="D27" i="40" s="1"/>
  <c r="D13" i="41" s="1"/>
  <c r="H36" i="40"/>
  <c r="H18" i="41" s="1"/>
  <c r="F39" i="40"/>
  <c r="F19" i="41" s="1"/>
  <c r="G36" i="40"/>
  <c r="G18" i="41" s="1"/>
  <c r="E39" i="40"/>
  <c r="E19" i="41" s="1"/>
  <c r="C19" i="40"/>
  <c r="E28" i="40"/>
  <c r="E27" i="40" s="1"/>
  <c r="E13" i="41" s="1"/>
  <c r="C31" i="40"/>
  <c r="C30" i="40" s="1"/>
  <c r="C14" i="41" s="1"/>
  <c r="I36" i="40"/>
  <c r="I18" i="41" s="1"/>
  <c r="E44" i="40"/>
  <c r="E21" i="41" s="1"/>
  <c r="C63" i="40"/>
  <c r="J23" i="40"/>
  <c r="J22" i="40" s="1"/>
  <c r="D19" i="40"/>
  <c r="F28" i="40"/>
  <c r="F27" i="40" s="1"/>
  <c r="F13" i="41" s="1"/>
  <c r="D31" i="40"/>
  <c r="D30" i="40" s="1"/>
  <c r="D14" i="41" s="1"/>
  <c r="J36" i="40"/>
  <c r="J18" i="41" s="1"/>
  <c r="H39" i="40"/>
  <c r="H19" i="41" s="1"/>
  <c r="D63" i="40"/>
  <c r="E63" i="40"/>
  <c r="G28" i="40"/>
  <c r="G27" i="40" s="1"/>
  <c r="G13" i="41" s="1"/>
  <c r="H28" i="40"/>
  <c r="H27" i="40" s="1"/>
  <c r="H13" i="41" s="1"/>
  <c r="F31" i="40"/>
  <c r="F30" i="40" s="1"/>
  <c r="F14" i="41" s="1"/>
  <c r="F63" i="40"/>
  <c r="E31" i="40"/>
  <c r="E30" i="40" s="1"/>
  <c r="E14" i="41" s="1"/>
  <c r="I28" i="40"/>
  <c r="I27" i="40" s="1"/>
  <c r="I13" i="41" s="1"/>
  <c r="G31" i="40"/>
  <c r="G30" i="40" s="1"/>
  <c r="G14" i="41" s="1"/>
  <c r="C41" i="40"/>
  <c r="G63" i="40"/>
  <c r="G58" i="40"/>
  <c r="G28" i="41" s="1"/>
  <c r="D14" i="40"/>
  <c r="D13" i="40" s="1"/>
  <c r="D47" i="40"/>
  <c r="E17" i="40"/>
  <c r="G41" i="40"/>
  <c r="E47" i="40"/>
  <c r="E61" i="40"/>
  <c r="E29" i="41" s="1"/>
  <c r="C64" i="40"/>
  <c r="C30" i="41" s="1"/>
  <c r="H58" i="40"/>
  <c r="H28" i="41" s="1"/>
  <c r="H41" i="40"/>
  <c r="F47" i="40"/>
  <c r="F61" i="40"/>
  <c r="F29" i="41" s="1"/>
  <c r="I41" i="40"/>
  <c r="J28" i="40"/>
  <c r="J27" i="40" s="1"/>
  <c r="J13" i="41" s="1"/>
  <c r="H31" i="40"/>
  <c r="H30" i="40" s="1"/>
  <c r="H14" i="41" s="1"/>
  <c r="D41" i="40"/>
  <c r="H63" i="40"/>
  <c r="F41" i="40"/>
  <c r="H14" i="40"/>
  <c r="H13" i="40" s="1"/>
  <c r="J54" i="40" l="1"/>
  <c r="J26" i="41"/>
  <c r="E50" i="40"/>
  <c r="E56" i="40" s="1"/>
  <c r="E27" i="41" s="1"/>
  <c r="E25" i="41"/>
  <c r="D70" i="40"/>
  <c r="D68" i="40" s="1"/>
  <c r="D34" i="41" s="1"/>
  <c r="D12" i="41"/>
  <c r="C50" i="40"/>
  <c r="C56" i="40" s="1"/>
  <c r="C27" i="41" s="1"/>
  <c r="C25" i="41"/>
  <c r="J70" i="40"/>
  <c r="J68" i="40" s="1"/>
  <c r="J34" i="41" s="1"/>
  <c r="J12" i="41"/>
  <c r="H54" i="40"/>
  <c r="H26" i="41"/>
  <c r="F50" i="40"/>
  <c r="F56" i="40" s="1"/>
  <c r="F27" i="41" s="1"/>
  <c r="F25" i="41"/>
  <c r="D50" i="40"/>
  <c r="D56" i="40" s="1"/>
  <c r="D27" i="41" s="1"/>
  <c r="D25" i="41"/>
  <c r="I70" i="40"/>
  <c r="I68" i="40" s="1"/>
  <c r="I34" i="41" s="1"/>
  <c r="I12" i="41"/>
  <c r="I54" i="40"/>
  <c r="I26" i="41"/>
  <c r="I50" i="40"/>
  <c r="I56" i="40" s="1"/>
  <c r="I27" i="41" s="1"/>
  <c r="I25" i="41"/>
  <c r="G50" i="40"/>
  <c r="G56" i="40" s="1"/>
  <c r="G27" i="41" s="1"/>
  <c r="G25" i="41"/>
  <c r="G70" i="40"/>
  <c r="G68" i="40" s="1"/>
  <c r="G34" i="41" s="1"/>
  <c r="G12" i="41"/>
  <c r="C70" i="40"/>
  <c r="C68" i="40" s="1"/>
  <c r="C34" i="41" s="1"/>
  <c r="C12" i="41"/>
  <c r="H70" i="40"/>
  <c r="H68" i="40" s="1"/>
  <c r="H34" i="41" s="1"/>
  <c r="H12" i="41"/>
  <c r="F70" i="40"/>
  <c r="F68" i="40" s="1"/>
  <c r="F34" i="41" s="1"/>
  <c r="F12" i="41"/>
  <c r="E70" i="40"/>
  <c r="E68" i="40" s="1"/>
  <c r="E34" i="41" s="1"/>
  <c r="E12" i="41"/>
  <c r="H50" i="40"/>
  <c r="H56" i="40" s="1"/>
  <c r="H27" i="41" s="1"/>
  <c r="H25" i="41"/>
  <c r="J50" i="40"/>
  <c r="J56" i="40" s="1"/>
  <c r="J27" i="41" s="1"/>
  <c r="J25" i="41"/>
  <c r="J41" i="40"/>
  <c r="J31" i="40"/>
  <c r="J30" i="40" s="1"/>
  <c r="J14" i="41" s="1"/>
  <c r="J17" i="40"/>
</calcChain>
</file>

<file path=xl/sharedStrings.xml><?xml version="1.0" encoding="utf-8"?>
<sst xmlns="http://schemas.openxmlformats.org/spreadsheetml/2006/main" count="338" uniqueCount="198">
  <si>
    <t>Name</t>
  </si>
  <si>
    <t>Bits id</t>
  </si>
  <si>
    <t>AKHILESH PANDAY</t>
  </si>
  <si>
    <t>Course</t>
  </si>
  <si>
    <t>MBA in AI for business</t>
  </si>
  <si>
    <t>Course code</t>
  </si>
  <si>
    <t>Other Income</t>
  </si>
  <si>
    <t>Deferred Tax</t>
  </si>
  <si>
    <t>Minority Interest</t>
  </si>
  <si>
    <t>NET REVENUE</t>
  </si>
  <si>
    <t>EARNINGS PER SHARE =PAT/NO OF EQ SHARES</t>
  </si>
  <si>
    <t>NO OF EQUITY SHARES</t>
  </si>
  <si>
    <t>FACE VALUE IS 1</t>
  </si>
  <si>
    <t>EBIT</t>
  </si>
  <si>
    <t>CPL EMPLOYED=DEBT+EQUITY</t>
  </si>
  <si>
    <t>CPL EMP=TOTAL EQ SH FUNDS+ TOTAL NC LIABILITIES</t>
  </si>
  <si>
    <t>Other Long Term Liabilities</t>
  </si>
  <si>
    <t>Long Term Provisions</t>
  </si>
  <si>
    <t>Short Term Provisions</t>
  </si>
  <si>
    <t>GP=OR-COGS</t>
  </si>
  <si>
    <t xml:space="preserve"> Solvency Ratios</t>
  </si>
  <si>
    <t>Turnover Ratio/Efficiency Ratios</t>
  </si>
  <si>
    <t>Average Collection Period*</t>
  </si>
  <si>
    <t>Average Payment period*</t>
  </si>
  <si>
    <t>Float</t>
  </si>
  <si>
    <t>Average Inventory at Cost</t>
  </si>
  <si>
    <t>Net WorkingCapital=CA - CL</t>
  </si>
  <si>
    <t>Fixed Asset</t>
  </si>
  <si>
    <t xml:space="preserve">VALUATION RATIOS
</t>
  </si>
  <si>
    <t>2024BC26663</t>
  </si>
  <si>
    <t xml:space="preserve"> Profitability Ratios</t>
  </si>
  <si>
    <t>OPERATING PROFIT RATIO=EBIT/TOT OP REVX100</t>
  </si>
  <si>
    <t>NET PROFIT RATIO=PAT/NET REVENUEX100</t>
  </si>
  <si>
    <t>PROFIT AFTER TAX(PAT)</t>
  </si>
  <si>
    <t>RETURN ON EQUITY=PROFIT AFTER TAX(PAT)/EQ SH FUNDSX100</t>
  </si>
  <si>
    <t>RETURN ON CAPITAL EMPLOYED=EBIT/ CPL EMPLOYEDX100</t>
  </si>
  <si>
    <t xml:space="preserve">Discription </t>
  </si>
  <si>
    <t>Debtors Turnover Ratio = Net Credit Sales/Average Debtors</t>
  </si>
  <si>
    <t>Average Debtors (Trade Receivables)</t>
  </si>
  <si>
    <t>Creditors Turnover Ratio = NetCredit Purchases/Average Payables</t>
  </si>
  <si>
    <t>Average Creditors (Trade Payables)</t>
  </si>
  <si>
    <t>Net Credit Purchases (Cost Of Materials Consumed + Purchase Of Stock-In Trade')</t>
  </si>
  <si>
    <t>Inventory Turnover Ratio = COGS/Average Inventory at Cost</t>
  </si>
  <si>
    <t>Working Capital Turnover Ratio = COGS/Net WorkingCapital</t>
  </si>
  <si>
    <t>Fixed Asset Turnover Ratio = Revenue from operations/Net Fixed Assets</t>
  </si>
  <si>
    <t>Profitability Ratios</t>
  </si>
  <si>
    <t>Solvency Ratios</t>
  </si>
  <si>
    <t>Market / Valuation Ratios</t>
  </si>
  <si>
    <t>Liquidity Ratios</t>
  </si>
  <si>
    <t>CASH+BANK+CI+MS</t>
  </si>
  <si>
    <t>Current Assets</t>
  </si>
  <si>
    <t>Current Liability</t>
  </si>
  <si>
    <t>DEBT</t>
  </si>
  <si>
    <t>EQUITY = DEN FOR ROE</t>
  </si>
  <si>
    <t>PROPRIETARY RATIO=EQ SH FUNDS/TOTAL CPL</t>
  </si>
  <si>
    <t>PRICE EARNINGS RATIO=MPS/EPS</t>
  </si>
  <si>
    <t>EPS(Earning Per Share)</t>
  </si>
  <si>
    <t>PRICE BOOK RATIO=MPS/BVPS</t>
  </si>
  <si>
    <t>MPS(Market Price of Share)</t>
  </si>
  <si>
    <t>BVPS (Book Value Per Share)= TOTAL EQ SHAREHOLDERS FUNDS/NO OF SHARES</t>
  </si>
  <si>
    <t>DEBT CAPITAL RATIO=DEBT /(DEBT+EQUITY)</t>
  </si>
  <si>
    <t>INTEREST PAID</t>
  </si>
  <si>
    <t>DEBT EQUITY RATIO=LONG TERM DEBT/EQUITY</t>
  </si>
  <si>
    <t>Net Credit Sales (OR)</t>
  </si>
  <si>
    <t>Liquidity Ratio</t>
  </si>
  <si>
    <t>Assumption</t>
  </si>
  <si>
    <t>1.for calculation of PE ratio , the share price of company as on 31 march(last day of year of finanacial year) is considered.</t>
  </si>
  <si>
    <t xml:space="preserve">2.COGS = 100% Employee Benefit Expenses considered in cogs calculations </t>
  </si>
  <si>
    <t>CURRENT RATIO = Current Assets/Current Liability</t>
  </si>
  <si>
    <t>QUICK RATIO = QuiCK Asset/Current Liability</t>
  </si>
  <si>
    <t>ABSOLUTE LIQUID RATIO= CASH+BANK+CI+MS/Current Liability</t>
  </si>
  <si>
    <t>COGS(Cost of Goods sold) = OP STK+PUR-CLOS STK+DE</t>
  </si>
  <si>
    <t>Total Renenue from Operation</t>
  </si>
  <si>
    <t>Grosss Profit (GP) = Total Renenue from Operation-COGS</t>
  </si>
  <si>
    <t>GROSS PROFIT RATIO= GP/Total Renenue from Operation X100</t>
  </si>
  <si>
    <t>OPERATING PROFIT(EBIT) TOTAL OP REVENUES -ALL EXP EXCEPT INTEREST AND TAX</t>
  </si>
  <si>
    <t xml:space="preserve">NO OF EQUITY SHARES= EQ SH CPL/ FACE VALUE OF SHARE </t>
  </si>
  <si>
    <t>Equity Share Holder Fund</t>
  </si>
  <si>
    <t>Quick Asset</t>
  </si>
  <si>
    <t>Consolidated</t>
  </si>
  <si>
    <t>Standalone</t>
  </si>
  <si>
    <t>Adani Total Gas Ltd.</t>
  </si>
  <si>
    <t>Gujarat Gas</t>
  </si>
  <si>
    <t>Indraprastha Gas</t>
  </si>
  <si>
    <t>Add Company</t>
  </si>
  <si>
    <t>In Rs. Cr.</t>
  </si>
  <si>
    <t>Mar'18</t>
  </si>
  <si>
    <t>Mar'19</t>
  </si>
  <si>
    <t>Mar'20</t>
  </si>
  <si>
    <t>Mar'21</t>
  </si>
  <si>
    <t>Mar'22</t>
  </si>
  <si>
    <t>Mar'23</t>
  </si>
  <si>
    <t>Mar'24</t>
  </si>
  <si>
    <t>Mar'25</t>
  </si>
  <si>
    <t>Sep'25</t>
  </si>
  <si>
    <t>Profit Before Tax</t>
  </si>
  <si>
    <t>—</t>
  </si>
  <si>
    <t>Profit &amp; Loss</t>
  </si>
  <si>
    <t>Raw Material</t>
  </si>
  <si>
    <t>Material Cost (%)</t>
  </si>
  <si>
    <t>Employee Cost</t>
  </si>
  <si>
    <t>Power &amp; Fuel Cost</t>
  </si>
  <si>
    <t>Operating Profit</t>
  </si>
  <si>
    <t>OPM (%)</t>
  </si>
  <si>
    <t>Interest</t>
  </si>
  <si>
    <t>Net Profit</t>
  </si>
  <si>
    <t>Number of shares(Crs)</t>
  </si>
  <si>
    <t>Dividend Payout Ratio(%)</t>
  </si>
  <si>
    <t>TTM Values as of Sep 2025</t>
  </si>
  <si>
    <t>Balance Sheet</t>
  </si>
  <si>
    <t>Net Block</t>
  </si>
  <si>
    <t>Capital Work in Progress</t>
  </si>
  <si>
    <t>Long Term Investments</t>
  </si>
  <si>
    <t>Inventory</t>
  </si>
  <si>
    <t>Accounts Receivable</t>
  </si>
  <si>
    <t>Short Term Investments</t>
  </si>
  <si>
    <t>Cash &amp; Bank Balances</t>
  </si>
  <si>
    <t>Share Capital</t>
  </si>
  <si>
    <t>Reserves</t>
  </si>
  <si>
    <t>Secured Loans</t>
  </si>
  <si>
    <t>Unsecured Loans</t>
  </si>
  <si>
    <t>Accounts Payable</t>
  </si>
  <si>
    <t>Short Term Loans</t>
  </si>
  <si>
    <t>Gross Sales</t>
  </si>
  <si>
    <t>Less: Excise Duty</t>
  </si>
  <si>
    <t>Net Sales</t>
  </si>
  <si>
    <t>Increase/Decrease in Stock</t>
  </si>
  <si>
    <t>Other Manufacturing Expenses</t>
  </si>
  <si>
    <t>Selling and Distribution Expenses</t>
  </si>
  <si>
    <t>General and Administration Expenses</t>
  </si>
  <si>
    <t>Miscellaneous Expenses</t>
  </si>
  <si>
    <t>PBDT</t>
  </si>
  <si>
    <t>Depreciation and Amortization</t>
  </si>
  <si>
    <t>Profit Before Taxation &amp; Exceptional Items</t>
  </si>
  <si>
    <t>Exceptional Income / Expenses</t>
  </si>
  <si>
    <t>Profit After Tax</t>
  </si>
  <si>
    <t>Extra items</t>
  </si>
  <si>
    <t>Share of Associate</t>
  </si>
  <si>
    <t>Current Income Tax</t>
  </si>
  <si>
    <t>Other taxes</t>
  </si>
  <si>
    <t>Gross Block</t>
  </si>
  <si>
    <t>Less: Accumulated Depreciation</t>
  </si>
  <si>
    <t>Less: Impairment of Assets</t>
  </si>
  <si>
    <t>Lease Adjustment A/c</t>
  </si>
  <si>
    <t>Long Term Loans &amp; Advances</t>
  </si>
  <si>
    <t>Other Non Current Assets</t>
  </si>
  <si>
    <t>Other Current Assets</t>
  </si>
  <si>
    <t>Short Term Loans and Advances</t>
  </si>
  <si>
    <t>Share Warrants</t>
  </si>
  <si>
    <t>Deferred Tax Assets/Liabilities</t>
  </si>
  <si>
    <t>Share Application Money</t>
  </si>
  <si>
    <t>Performance Period</t>
  </si>
  <si>
    <t xml:space="preserve"> View Summary</t>
  </si>
  <si>
    <t>?</t>
  </si>
  <si>
    <t>A-</t>
  </si>
  <si>
    <t>A+</t>
  </si>
  <si>
    <t xml:space="preserve"> Operating Expenses</t>
  </si>
  <si>
    <t xml:space="preserve"> Provision for Taxs</t>
  </si>
  <si>
    <t xml:space="preserve"> Assets</t>
  </si>
  <si>
    <t xml:space="preserve"> Non Current Assets</t>
  </si>
  <si>
    <t xml:space="preserve"> Current Assets</t>
  </si>
  <si>
    <t xml:space="preserve"> Liabilities</t>
  </si>
  <si>
    <t xml:space="preserve"> Shareholders Funds</t>
  </si>
  <si>
    <t xml:space="preserve"> Non Current Liabilities</t>
  </si>
  <si>
    <t xml:space="preserve"> Current Liabilities</t>
  </si>
  <si>
    <t xml:space="preserve"> Other Current Liabilities</t>
  </si>
  <si>
    <t xml:space="preserve">FM ASSIGNMENT </t>
  </si>
  <si>
    <t>S1-25_MBACCZG521</t>
  </si>
  <si>
    <t>Equity Research Report</t>
  </si>
  <si>
    <t>Financial Ratio</t>
  </si>
  <si>
    <t>https://www.tijorifinance.com/company/adani-gas-ltd/financials/#profit_and_loss</t>
  </si>
  <si>
    <t>Source of data download</t>
  </si>
  <si>
    <t>https://www.tijorifinance.com/company/adani-gas-ltd/financials/#balance_sheet</t>
  </si>
  <si>
    <t>INTEREST COVERAGE RATIO= EBIT/INT PAID</t>
  </si>
  <si>
    <t>VALUATION RATIOS</t>
  </si>
  <si>
    <t>CA Vs CL</t>
  </si>
  <si>
    <t xml:space="preserve">Date of downöpad </t>
  </si>
  <si>
    <t>Metric</t>
  </si>
  <si>
    <t>ATGL</t>
  </si>
  <si>
    <t>GAIL</t>
  </si>
  <si>
    <t>IGL</t>
  </si>
  <si>
    <t>Market Cap (₹ Cr)</t>
  </si>
  <si>
    <t>Revenue (₹ Cr, FY25)</t>
  </si>
  <si>
    <t>~5,000</t>
  </si>
  <si>
    <t>PAT (₹ Cr, FY25)</t>
  </si>
  <si>
    <t>~640</t>
  </si>
  <si>
    <t>~10,960</t>
  </si>
  <si>
    <t>~281</t>
  </si>
  <si>
    <t>~372</t>
  </si>
  <si>
    <t>PE Ratio (TTM)</t>
  </si>
  <si>
    <t>ROE (%)</t>
  </si>
  <si>
    <t>~16.4%</t>
  </si>
  <si>
    <t>Dividend Yield (%)</t>
  </si>
  <si>
    <t>~0.04%</t>
  </si>
  <si>
    <t>~94–100</t>
  </si>
  <si>
    <t>~8.7</t>
  </si>
  <si>
    <t>~24.3</t>
  </si>
  <si>
    <t>~19.0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</si>
</sst>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Segoe UI"/>
      <family val="2"/>
    </font>
    <font>
      <b/>
      <sz val="13.5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5">
    <xf numFmtId="0" fontId="0" fillId="0" borderId="0"/>
    <xf numFmtId="0" fontId="8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6" fillId="15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0" fillId="0" borderId="4" xfId="5" applyFont="1" applyFill="1" applyBorder="1"/>
    <xf numFmtId="2" fontId="7" fillId="0" borderId="0" xfId="5" applyNumberFormat="1" applyFill="1" applyBorder="1" applyAlignment="1">
      <alignment horizontal="center" vertical="center"/>
    </xf>
    <xf numFmtId="0" fontId="3" fillId="0" borderId="4" xfId="4" applyFont="1" applyFill="1" applyBorder="1"/>
    <xf numFmtId="2" fontId="3" fillId="0" borderId="0" xfId="4" applyNumberFormat="1" applyFont="1" applyFill="1" applyBorder="1" applyAlignment="1">
      <alignment horizontal="center" vertical="center"/>
    </xf>
    <xf numFmtId="0" fontId="0" fillId="0" borderId="6" xfId="5" applyFont="1" applyFill="1" applyBorder="1"/>
    <xf numFmtId="2" fontId="7" fillId="0" borderId="7" xfId="5" applyNumberFormat="1" applyFill="1" applyBorder="1" applyAlignment="1">
      <alignment horizontal="center" vertical="center"/>
    </xf>
    <xf numFmtId="0" fontId="0" fillId="0" borderId="4" xfId="12" applyFont="1" applyFill="1" applyBorder="1" applyAlignment="1">
      <alignment horizontal="left" vertical="center"/>
    </xf>
    <xf numFmtId="0" fontId="7" fillId="0" borderId="0" xfId="12" applyFill="1" applyBorder="1" applyAlignment="1">
      <alignment horizontal="center" vertical="center"/>
    </xf>
    <xf numFmtId="0" fontId="7" fillId="0" borderId="5" xfId="12" applyFill="1" applyBorder="1" applyAlignment="1">
      <alignment horizontal="center" vertical="center"/>
    </xf>
    <xf numFmtId="0" fontId="0" fillId="0" borderId="6" xfId="12" applyFont="1" applyFill="1" applyBorder="1" applyAlignment="1">
      <alignment horizontal="left" vertical="center"/>
    </xf>
    <xf numFmtId="0" fontId="7" fillId="0" borderId="4" xfId="12" applyFill="1" applyBorder="1" applyAlignment="1">
      <alignment horizontal="left" vertical="center"/>
    </xf>
    <xf numFmtId="4" fontId="7" fillId="0" borderId="7" xfId="12" applyNumberFormat="1" applyFill="1" applyBorder="1" applyAlignment="1">
      <alignment horizontal="center" vertical="center"/>
    </xf>
    <xf numFmtId="4" fontId="7" fillId="0" borderId="8" xfId="12" applyNumberFormat="1" applyFill="1" applyBorder="1" applyAlignment="1">
      <alignment horizontal="center" vertical="center"/>
    </xf>
    <xf numFmtId="4" fontId="7" fillId="0" borderId="0" xfId="12" applyNumberFormat="1" applyFill="1" applyBorder="1" applyAlignment="1">
      <alignment horizontal="center" vertical="center"/>
    </xf>
    <xf numFmtId="4" fontId="7" fillId="0" borderId="5" xfId="12" applyNumberFormat="1" applyFill="1" applyBorder="1" applyAlignment="1">
      <alignment horizontal="center" vertical="center"/>
    </xf>
    <xf numFmtId="0" fontId="7" fillId="0" borderId="4" xfId="9" applyFill="1" applyBorder="1" applyAlignment="1">
      <alignment horizontal="left" vertical="center"/>
    </xf>
    <xf numFmtId="4" fontId="7" fillId="0" borderId="0" xfId="9" applyNumberFormat="1" applyFill="1" applyBorder="1" applyAlignment="1">
      <alignment horizontal="center" vertical="center"/>
    </xf>
    <xf numFmtId="4" fontId="7" fillId="0" borderId="5" xfId="9" applyNumberFormat="1" applyFill="1" applyBorder="1" applyAlignment="1">
      <alignment horizontal="center" vertical="center"/>
    </xf>
    <xf numFmtId="0" fontId="7" fillId="0" borderId="0" xfId="9" applyFill="1" applyBorder="1" applyAlignment="1">
      <alignment horizontal="center" vertical="center"/>
    </xf>
    <xf numFmtId="0" fontId="7" fillId="0" borderId="5" xfId="9" applyFill="1" applyBorder="1" applyAlignment="1">
      <alignment horizontal="center" vertical="center"/>
    </xf>
    <xf numFmtId="0" fontId="3" fillId="0" borderId="6" xfId="7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7" fillId="0" borderId="4" xfId="1" applyFont="1" applyFill="1" applyBorder="1" applyAlignment="1">
      <alignment horizontal="left" vertical="center"/>
    </xf>
    <xf numFmtId="164" fontId="7" fillId="0" borderId="0" xfId="1" applyNumberFormat="1" applyFont="1" applyFill="1" applyBorder="1" applyAlignment="1">
      <alignment horizontal="center" vertical="center"/>
    </xf>
    <xf numFmtId="164" fontId="7" fillId="0" borderId="5" xfId="1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left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3" fillId="0" borderId="5" xfId="1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left" vertical="center"/>
    </xf>
    <xf numFmtId="2" fontId="7" fillId="0" borderId="0" xfId="1" applyNumberFormat="1" applyFont="1" applyFill="1" applyBorder="1" applyAlignment="1">
      <alignment horizontal="center" vertical="center"/>
    </xf>
    <xf numFmtId="2" fontId="7" fillId="0" borderId="5" xfId="1" applyNumberFormat="1" applyFont="1" applyFill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center" vertical="center"/>
    </xf>
    <xf numFmtId="2" fontId="7" fillId="0" borderId="8" xfId="1" applyNumberFormat="1" applyFont="1" applyFill="1" applyBorder="1" applyAlignment="1">
      <alignment horizontal="center" vertical="center"/>
    </xf>
    <xf numFmtId="0" fontId="7" fillId="0" borderId="4" xfId="3" applyFill="1" applyBorder="1" applyAlignment="1">
      <alignment horizontal="left"/>
    </xf>
    <xf numFmtId="0" fontId="3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 wrapText="1"/>
    </xf>
    <xf numFmtId="3" fontId="7" fillId="0" borderId="0" xfId="12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3" fillId="0" borderId="0" xfId="11" applyNumberFormat="1" applyFont="1" applyFill="1" applyBorder="1" applyAlignment="1">
      <alignment horizontal="center" vertical="center"/>
    </xf>
    <xf numFmtId="0" fontId="7" fillId="0" borderId="0" xfId="12" applyFill="1" applyBorder="1" applyAlignment="1">
      <alignment horizontal="left" vertical="center"/>
    </xf>
    <xf numFmtId="165" fontId="3" fillId="0" borderId="0" xfId="7" applyNumberFormat="1" applyFont="1" applyFill="1" applyBorder="1" applyAlignment="1">
      <alignment horizontal="center" vertical="center"/>
    </xf>
    <xf numFmtId="164" fontId="3" fillId="0" borderId="0" xfId="7" applyNumberFormat="1" applyFont="1" applyFill="1" applyBorder="1" applyAlignment="1">
      <alignment horizontal="center" vertical="center"/>
    </xf>
    <xf numFmtId="4" fontId="7" fillId="0" borderId="0" xfId="1" applyNumberFormat="1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center" vertical="center"/>
    </xf>
    <xf numFmtId="2" fontId="7" fillId="0" borderId="0" xfId="3" applyNumberFormat="1" applyFill="1" applyBorder="1" applyAlignment="1">
      <alignment horizontal="center" vertical="center"/>
    </xf>
    <xf numFmtId="4" fontId="7" fillId="0" borderId="0" xfId="3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3" fillId="0" borderId="5" xfId="4" applyNumberFormat="1" applyFont="1" applyFill="1" applyBorder="1" applyAlignment="1">
      <alignment horizontal="center" vertical="center"/>
    </xf>
    <xf numFmtId="2" fontId="7" fillId="0" borderId="5" xfId="5" applyNumberFormat="1" applyFill="1" applyBorder="1" applyAlignment="1">
      <alignment horizontal="center" vertical="center"/>
    </xf>
    <xf numFmtId="0" fontId="3" fillId="0" borderId="4" xfId="11" applyFont="1" applyFill="1" applyBorder="1" applyAlignment="1">
      <alignment horizontal="left" vertical="center"/>
    </xf>
    <xf numFmtId="2" fontId="3" fillId="0" borderId="5" xfId="11" applyNumberFormat="1" applyFont="1" applyFill="1" applyBorder="1" applyAlignment="1">
      <alignment horizontal="center" vertical="center"/>
    </xf>
    <xf numFmtId="3" fontId="7" fillId="0" borderId="5" xfId="12" applyNumberFormat="1" applyFill="1" applyBorder="1" applyAlignment="1">
      <alignment horizontal="center" vertical="center"/>
    </xf>
    <xf numFmtId="0" fontId="0" fillId="0" borderId="4" xfId="12" applyFont="1" applyFill="1" applyBorder="1" applyAlignment="1">
      <alignment horizontal="left" vertical="center" wrapText="1"/>
    </xf>
    <xf numFmtId="0" fontId="3" fillId="0" borderId="4" xfId="7" applyFont="1" applyFill="1" applyBorder="1" applyAlignment="1">
      <alignment horizontal="left" vertical="center"/>
    </xf>
    <xf numFmtId="165" fontId="3" fillId="0" borderId="5" xfId="7" applyNumberFormat="1" applyFont="1" applyFill="1" applyBorder="1" applyAlignment="1">
      <alignment horizontal="center" vertical="center"/>
    </xf>
    <xf numFmtId="164" fontId="3" fillId="0" borderId="5" xfId="7" applyNumberFormat="1" applyFont="1" applyFill="1" applyBorder="1" applyAlignment="1">
      <alignment horizontal="center" vertical="center"/>
    </xf>
    <xf numFmtId="2" fontId="3" fillId="0" borderId="7" xfId="7" applyNumberFormat="1" applyFont="1" applyFill="1" applyBorder="1" applyAlignment="1">
      <alignment horizontal="center" vertical="center"/>
    </xf>
    <xf numFmtId="2" fontId="3" fillId="0" borderId="8" xfId="7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left" vertical="center" wrapText="1"/>
    </xf>
    <xf numFmtId="0" fontId="7" fillId="0" borderId="4" xfId="1" applyFont="1" applyFill="1" applyBorder="1" applyAlignment="1">
      <alignment horizontal="left" vertical="center" wrapText="1"/>
    </xf>
    <xf numFmtId="4" fontId="7" fillId="0" borderId="5" xfId="1" applyNumberFormat="1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left" vertical="center"/>
    </xf>
    <xf numFmtId="164" fontId="3" fillId="0" borderId="5" xfId="2" applyNumberFormat="1" applyFont="1" applyFill="1" applyBorder="1" applyAlignment="1">
      <alignment horizontal="center" vertical="center"/>
    </xf>
    <xf numFmtId="2" fontId="7" fillId="0" borderId="5" xfId="3" applyNumberFormat="1" applyFill="1" applyBorder="1" applyAlignment="1">
      <alignment horizontal="center" vertical="center"/>
    </xf>
    <xf numFmtId="0" fontId="7" fillId="0" borderId="4" xfId="3" applyFill="1" applyBorder="1" applyAlignment="1">
      <alignment horizontal="left" wrapText="1"/>
    </xf>
    <xf numFmtId="4" fontId="7" fillId="0" borderId="5" xfId="3" applyNumberFormat="1" applyFill="1" applyBorder="1" applyAlignment="1">
      <alignment horizontal="center" vertic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10" fillId="2" borderId="11" xfId="8" applyFont="1" applyFill="1" applyBorder="1" applyAlignment="1">
      <alignment horizontal="center" vertical="center"/>
    </xf>
    <xf numFmtId="0" fontId="10" fillId="2" borderId="12" xfId="8" applyFont="1" applyFill="1" applyBorder="1" applyAlignment="1">
      <alignment horizontal="center" vertical="center"/>
    </xf>
    <xf numFmtId="0" fontId="11" fillId="2" borderId="14" xfId="0" applyFont="1" applyFill="1" applyBorder="1"/>
    <xf numFmtId="0" fontId="10" fillId="2" borderId="11" xfId="9" applyFont="1" applyFill="1" applyBorder="1" applyAlignment="1">
      <alignment horizontal="center" vertical="center"/>
    </xf>
    <xf numFmtId="0" fontId="10" fillId="2" borderId="12" xfId="9" applyFont="1" applyFill="1" applyBorder="1" applyAlignment="1">
      <alignment horizontal="center" vertical="center"/>
    </xf>
    <xf numFmtId="0" fontId="11" fillId="2" borderId="15" xfId="0" applyFont="1" applyFill="1" applyBorder="1"/>
    <xf numFmtId="0" fontId="10" fillId="2" borderId="11" xfId="10" applyFont="1" applyFill="1" applyBorder="1" applyAlignment="1">
      <alignment horizontal="center" vertical="center"/>
    </xf>
    <xf numFmtId="0" fontId="10" fillId="2" borderId="12" xfId="10" applyFont="1" applyFill="1" applyBorder="1" applyAlignment="1">
      <alignment horizontal="center" vertical="center"/>
    </xf>
    <xf numFmtId="0" fontId="10" fillId="2" borderId="9" xfId="7" applyFont="1" applyFill="1" applyBorder="1" applyAlignment="1">
      <alignment horizontal="center" vertical="center"/>
    </xf>
    <xf numFmtId="0" fontId="10" fillId="2" borderId="10" xfId="7" applyFont="1" applyFill="1" applyBorder="1" applyAlignment="1">
      <alignment horizontal="center" vertical="center"/>
    </xf>
    <xf numFmtId="0" fontId="11" fillId="2" borderId="16" xfId="0" applyFont="1" applyFill="1" applyBorder="1"/>
    <xf numFmtId="0" fontId="11" fillId="0" borderId="13" xfId="6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13" applyFont="1" applyFill="1" applyBorder="1" applyAlignment="1">
      <alignment horizontal="left" vertical="center"/>
    </xf>
    <xf numFmtId="0" fontId="10" fillId="0" borderId="0" xfId="13" applyFont="1" applyFill="1" applyBorder="1" applyAlignment="1">
      <alignment vertical="center"/>
    </xf>
    <xf numFmtId="0" fontId="14" fillId="0" borderId="0" xfId="14" applyFont="1" applyAlignment="1">
      <alignment horizontal="left" vertical="center"/>
    </xf>
    <xf numFmtId="0" fontId="0" fillId="0" borderId="4" xfId="0" applyBorder="1"/>
    <xf numFmtId="0" fontId="15" fillId="16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4" applyFont="1" applyFill="1" applyBorder="1" applyAlignment="1">
      <alignment horizontal="center" vertical="center"/>
    </xf>
    <xf numFmtId="0" fontId="18" fillId="17" borderId="18" xfId="0" applyFont="1" applyFill="1" applyBorder="1" applyAlignment="1">
      <alignment horizontal="center" vertical="center"/>
    </xf>
    <xf numFmtId="0" fontId="18" fillId="17" borderId="19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18" borderId="14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3" fontId="21" fillId="0" borderId="12" xfId="0" applyNumberFormat="1" applyFont="1" applyBorder="1" applyAlignment="1">
      <alignment horizontal="center" vertical="center"/>
    </xf>
    <xf numFmtId="3" fontId="21" fillId="0" borderId="1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5">
    <cellStyle name="20% - Accent4" xfId="8" builtinId="42"/>
    <cellStyle name="40% - Accent1" xfId="3" builtinId="31"/>
    <cellStyle name="40% - Accent2" xfId="5" builtinId="35"/>
    <cellStyle name="40% - Accent4" xfId="9" builtinId="43"/>
    <cellStyle name="40% - Accent5" xfId="12" builtinId="47"/>
    <cellStyle name="60% - Accent2" xfId="6" builtinId="36"/>
    <cellStyle name="60% - Accent4" xfId="10" builtinId="44"/>
    <cellStyle name="60% - Accent5" xfId="13" builtinId="48"/>
    <cellStyle name="Accent1" xfId="2" builtinId="29"/>
    <cellStyle name="Accent2" xfId="4" builtinId="33"/>
    <cellStyle name="Accent4" xfId="7" builtinId="41"/>
    <cellStyle name="Accent5" xfId="11" builtinId="45"/>
    <cellStyle name="Hyperlink" xfId="14" builtinId="8"/>
    <cellStyle name="Neutral" xfId="1" builtinId="28"/>
    <cellStyle name="Normal" xfId="0" builtinId="0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Liquidity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CURRENT RATIO = Current Assets/Current Liability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Analysis!$C$2:$J$2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Analysis!$C$3:$J$3</c:f>
              <c:numCache>
                <c:formatCode>0.00</c:formatCode>
                <c:ptCount val="8"/>
                <c:pt idx="0">
                  <c:v>1.7884615384615385</c:v>
                </c:pt>
                <c:pt idx="1">
                  <c:v>1.3699186991869918</c:v>
                </c:pt>
                <c:pt idx="2">
                  <c:v>0.9441624365482234</c:v>
                </c:pt>
                <c:pt idx="3">
                  <c:v>0.27599009900990101</c:v>
                </c:pt>
                <c:pt idx="4">
                  <c:v>0.24726775956284153</c:v>
                </c:pt>
                <c:pt idx="5">
                  <c:v>0.39124487004103969</c:v>
                </c:pt>
                <c:pt idx="6">
                  <c:v>0.56985091109884045</c:v>
                </c:pt>
                <c:pt idx="7">
                  <c:v>0.72886866059817945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1-4086-9CC2-F3D01A3AE1A9}"/>
            </c:ext>
          </c:extLst>
        </c:ser>
        <c:ser>
          <c:idx val="1"/>
          <c:order val="1"/>
          <c:tx>
            <c:strRef>
              <c:f>Analysis!$B$4</c:f>
              <c:strCache>
                <c:ptCount val="1"/>
                <c:pt idx="0">
                  <c:v>QUICK RATIO = QuiCK Asset/Current Liability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Analysis!$C$2:$J$2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Analysis!$C$4:$J$4</c:f>
              <c:numCache>
                <c:formatCode>0.00</c:formatCode>
                <c:ptCount val="8"/>
                <c:pt idx="0">
                  <c:v>1.6726373626373627</c:v>
                </c:pt>
                <c:pt idx="1">
                  <c:v>1.2805691056910569</c:v>
                </c:pt>
                <c:pt idx="2">
                  <c:v>0.87428087986463632</c:v>
                </c:pt>
                <c:pt idx="3">
                  <c:v>0.21162128712871289</c:v>
                </c:pt>
                <c:pt idx="4">
                  <c:v>0.19482240437158471</c:v>
                </c:pt>
                <c:pt idx="5">
                  <c:v>0.3497674418604651</c:v>
                </c:pt>
                <c:pt idx="6">
                  <c:v>0.51509110988404194</c:v>
                </c:pt>
                <c:pt idx="7">
                  <c:v>0.65344603381014299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1-4086-9CC2-F3D01A3AE1A9}"/>
            </c:ext>
          </c:extLst>
        </c:ser>
        <c:ser>
          <c:idx val="2"/>
          <c:order val="2"/>
          <c:tx>
            <c:strRef>
              <c:f>Analysis!$B$5</c:f>
              <c:strCache>
                <c:ptCount val="1"/>
                <c:pt idx="0">
                  <c:v>ABSOLUTE LIQUID RATIO= CASH+BANK+CI+MS/Current Liability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Analysis!$C$2:$J$2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Analysis!$C$5:$J$5</c:f>
              <c:numCache>
                <c:formatCode>0.00</c:formatCode>
                <c:ptCount val="8"/>
                <c:pt idx="0">
                  <c:v>0.24651098901098903</c:v>
                </c:pt>
                <c:pt idx="1">
                  <c:v>0.32520325203252032</c:v>
                </c:pt>
                <c:pt idx="2">
                  <c:v>0.15138747884940779</c:v>
                </c:pt>
                <c:pt idx="3">
                  <c:v>1.3452970297029703E-2</c:v>
                </c:pt>
                <c:pt idx="4">
                  <c:v>2.3442622950819673E-2</c:v>
                </c:pt>
                <c:pt idx="5">
                  <c:v>0.16963064295485636</c:v>
                </c:pt>
                <c:pt idx="6">
                  <c:v>0.25179458862506904</c:v>
                </c:pt>
                <c:pt idx="7">
                  <c:v>0.32316644993498045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C1-4086-9CC2-F3D01A3AE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032624"/>
        <c:axId val="2076033104"/>
      </c:lineChart>
      <c:catAx>
        <c:axId val="20760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76033104"/>
        <c:crosses val="autoZero"/>
        <c:auto val="1"/>
        <c:lblAlgn val="ctr"/>
        <c:lblOffset val="100"/>
        <c:noMultiLvlLbl val="0"/>
      </c:catAx>
      <c:valAx>
        <c:axId val="2076033104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7603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 Profitability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GROSS PROFIT RATIO= GP/Total Renenue from Operation X100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Analysis!$C$8:$J$8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Analysis!$C$9:$J$9</c:f>
              <c:numCache>
                <c:formatCode>0.00</c:formatCode>
                <c:ptCount val="8"/>
                <c:pt idx="0">
                  <c:v>29.320960698689966</c:v>
                </c:pt>
                <c:pt idx="1">
                  <c:v>29.972076788830716</c:v>
                </c:pt>
                <c:pt idx="2">
                  <c:v>36.566933333333324</c:v>
                </c:pt>
                <c:pt idx="3">
                  <c:v>45.501768867924525</c:v>
                </c:pt>
                <c:pt idx="4">
                  <c:v>28.436471362738647</c:v>
                </c:pt>
                <c:pt idx="5">
                  <c:v>21.995888533576977</c:v>
                </c:pt>
                <c:pt idx="6">
                  <c:v>27.806927374301679</c:v>
                </c:pt>
                <c:pt idx="7">
                  <c:v>25.936400000000003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F-4878-851D-D41C642F5FBB}"/>
            </c:ext>
          </c:extLst>
        </c:ser>
        <c:ser>
          <c:idx val="1"/>
          <c:order val="1"/>
          <c:tx>
            <c:strRef>
              <c:f>Analysis!$B$10</c:f>
              <c:strCache>
                <c:ptCount val="1"/>
                <c:pt idx="0">
                  <c:v>OPERATING PROFIT RATIO=EBIT/TOT OP REVX100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Analysis!$C$8:$J$8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Analysis!$C$10:$J$10</c:f>
              <c:numCache>
                <c:formatCode>0.00</c:formatCode>
                <c:ptCount val="8"/>
                <c:pt idx="0">
                  <c:v>22.124454148471617</c:v>
                </c:pt>
                <c:pt idx="1">
                  <c:v>22.553228621291453</c:v>
                </c:pt>
                <c:pt idx="2">
                  <c:v>29.02933333333333</c:v>
                </c:pt>
                <c:pt idx="3">
                  <c:v>37.823113207547173</c:v>
                </c:pt>
                <c:pt idx="4">
                  <c:v>22.721198156682025</c:v>
                </c:pt>
                <c:pt idx="5">
                  <c:v>17.291000456829604</c:v>
                </c:pt>
                <c:pt idx="6">
                  <c:v>21.139664804469273</c:v>
                </c:pt>
                <c:pt idx="7">
                  <c:v>18.579999999999998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F-4878-851D-D41C642F5FBB}"/>
            </c:ext>
          </c:extLst>
        </c:ser>
        <c:ser>
          <c:idx val="2"/>
          <c:order val="2"/>
          <c:tx>
            <c:strRef>
              <c:f>Analysis!$B$11</c:f>
              <c:strCache>
                <c:ptCount val="1"/>
                <c:pt idx="0">
                  <c:v>NET PROFIT RATIO=PAT/NET REVENUEX100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Analysis!$C$8:$J$8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Analysis!$C$11:$J$11</c:f>
              <c:numCache>
                <c:formatCode>0.00</c:formatCode>
                <c:ptCount val="8"/>
                <c:pt idx="0">
                  <c:v>11.790393013100436</c:v>
                </c:pt>
                <c:pt idx="1">
                  <c:v>13.321698662012798</c:v>
                </c:pt>
                <c:pt idx="2">
                  <c:v>23.253333333333334</c:v>
                </c:pt>
                <c:pt idx="3">
                  <c:v>27.299528301886795</c:v>
                </c:pt>
                <c:pt idx="4">
                  <c:v>16.754443712969056</c:v>
                </c:pt>
                <c:pt idx="5">
                  <c:v>12.471448149840111</c:v>
                </c:pt>
                <c:pt idx="6">
                  <c:v>14.927374301675977</c:v>
                </c:pt>
                <c:pt idx="7">
                  <c:v>13.08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F-4878-851D-D41C642F5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07355808"/>
        <c:axId val="1807350528"/>
      </c:barChart>
      <c:catAx>
        <c:axId val="180735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7350528"/>
        <c:crosses val="autoZero"/>
        <c:auto val="1"/>
        <c:lblAlgn val="ctr"/>
        <c:lblOffset val="100"/>
        <c:noMultiLvlLbl val="0"/>
      </c:catAx>
      <c:valAx>
        <c:axId val="18073505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735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260106930948721E-2"/>
          <c:y val="0.74479002624671919"/>
          <c:w val="0.91586722275114096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EARNINGS PER SHARE =PAT/NO OF EQ SHARES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Analysis!$C$8:$J$8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Analysis!$C$12:$J$12</c:f>
              <c:numCache>
                <c:formatCode>0.00</c:formatCode>
                <c:ptCount val="8"/>
                <c:pt idx="0">
                  <c:v>0.63035019455252916</c:v>
                </c:pt>
                <c:pt idx="1">
                  <c:v>2.081818181818182</c:v>
                </c:pt>
                <c:pt idx="2">
                  <c:v>3.9636363636363638</c:v>
                </c:pt>
                <c:pt idx="3">
                  <c:v>4.209090909090909</c:v>
                </c:pt>
                <c:pt idx="4">
                  <c:v>4.627272727272727</c:v>
                </c:pt>
                <c:pt idx="5">
                  <c:v>4.9636363636363638</c:v>
                </c:pt>
                <c:pt idx="6">
                  <c:v>6.0727272727272723</c:v>
                </c:pt>
                <c:pt idx="7">
                  <c:v>5.9454545454545453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5-409F-9D22-1C136B84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3080960"/>
        <c:axId val="1993081440"/>
      </c:lineChart>
      <c:catAx>
        <c:axId val="19930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3081440"/>
        <c:crosses val="autoZero"/>
        <c:auto val="1"/>
        <c:lblAlgn val="ctr"/>
        <c:lblOffset val="100"/>
        <c:noMultiLvlLbl val="0"/>
      </c:catAx>
      <c:valAx>
        <c:axId val="19930814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30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 Profitability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RETURN ON EQUITY=PROFIT AFTER TAX(PAT)/EQ SH FUNDSX100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Analysis!$C$8:$J$8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Analysis!$C$13:$J$13</c:f>
              <c:numCache>
                <c:formatCode>0.00</c:formatCode>
                <c:ptCount val="8"/>
                <c:pt idx="0">
                  <c:v>18.642117376294593</c:v>
                </c:pt>
                <c:pt idx="1">
                  <c:v>20.780399274047188</c:v>
                </c:pt>
                <c:pt idx="2">
                  <c:v>29.63970088375255</c:v>
                </c:pt>
                <c:pt idx="3">
                  <c:v>23.940020682523269</c:v>
                </c:pt>
                <c:pt idx="4">
                  <c:v>21.067880794701988</c:v>
                </c:pt>
                <c:pt idx="5">
                  <c:v>18.565113906834409</c:v>
                </c:pt>
                <c:pt idx="6">
                  <c:v>18.659217877094971</c:v>
                </c:pt>
                <c:pt idx="7">
                  <c:v>15.545519372474448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D-41A5-9666-4148D27DE32C}"/>
            </c:ext>
          </c:extLst>
        </c:ser>
        <c:ser>
          <c:idx val="1"/>
          <c:order val="1"/>
          <c:tx>
            <c:strRef>
              <c:f>Analysis!$B$14</c:f>
              <c:strCache>
                <c:ptCount val="1"/>
                <c:pt idx="0">
                  <c:v>RETURN ON CAPITAL EMPLOYED=EBIT/ CPL EMPLOYEDX100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Analysis!$C$8:$J$8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Analysis!$C$14:$J$14</c:f>
              <c:numCache>
                <c:formatCode>0.00</c:formatCode>
                <c:ptCount val="8"/>
                <c:pt idx="0">
                  <c:v>12.468826907301068</c:v>
                </c:pt>
                <c:pt idx="1">
                  <c:v>24.915809768637537</c:v>
                </c:pt>
                <c:pt idx="2">
                  <c:v>28.875331564986734</c:v>
                </c:pt>
                <c:pt idx="3">
                  <c:v>26.772954924874792</c:v>
                </c:pt>
                <c:pt idx="4">
                  <c:v>23.391053880040662</c:v>
                </c:pt>
                <c:pt idx="5">
                  <c:v>21.929316338354575</c:v>
                </c:pt>
                <c:pt idx="6">
                  <c:v>19.786655511399289</c:v>
                </c:pt>
                <c:pt idx="7">
                  <c:v>15.164871041462618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D-41A5-9666-4148D27D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280048"/>
        <c:axId val="2138286288"/>
      </c:lineChart>
      <c:catAx>
        <c:axId val="213828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38286288"/>
        <c:crosses val="autoZero"/>
        <c:auto val="1"/>
        <c:lblAlgn val="ctr"/>
        <c:lblOffset val="100"/>
        <c:noMultiLvlLbl val="0"/>
      </c:catAx>
      <c:valAx>
        <c:axId val="21382862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3828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 Solvency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DEBT EQUITY RATIO=LONG TERM DEBT/EQUITY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Analysis!$C$17:$J$17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Analysis!$C$18:$J$18</c:f>
              <c:numCache>
                <c:formatCode>0.000</c:formatCode>
                <c:ptCount val="8"/>
                <c:pt idx="0">
                  <c:v>1.805523590333717</c:v>
                </c:pt>
                <c:pt idx="1">
                  <c:v>0.41197822141560797</c:v>
                </c:pt>
                <c:pt idx="2">
                  <c:v>0.28144119646498983</c:v>
                </c:pt>
                <c:pt idx="3">
                  <c:v>0.23888314374353672</c:v>
                </c:pt>
                <c:pt idx="4">
                  <c:v>0.22144039735099338</c:v>
                </c:pt>
                <c:pt idx="5">
                  <c:v>0.17375042502550153</c:v>
                </c:pt>
                <c:pt idx="6">
                  <c:v>0.33547486033519552</c:v>
                </c:pt>
                <c:pt idx="7">
                  <c:v>0.45614452103636793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E-4BE2-BCDE-A46A00B1277C}"/>
            </c:ext>
          </c:extLst>
        </c:ser>
        <c:ser>
          <c:idx val="1"/>
          <c:order val="1"/>
          <c:tx>
            <c:strRef>
              <c:f>Analysis!$B$19</c:f>
              <c:strCache>
                <c:ptCount val="1"/>
                <c:pt idx="0">
                  <c:v>DEBT CAPITAL RATIO=DEBT /(DEBT+EQUITY)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Analysis!$C$17:$J$17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Analysis!$C$19:$J$19</c:f>
              <c:numCache>
                <c:formatCode>0.000</c:formatCode>
                <c:ptCount val="8"/>
                <c:pt idx="0">
                  <c:v>0.64356029532403614</c:v>
                </c:pt>
                <c:pt idx="1">
                  <c:v>0.29177377892030848</c:v>
                </c:pt>
                <c:pt idx="2">
                  <c:v>0.21962864721485412</c:v>
                </c:pt>
                <c:pt idx="3">
                  <c:v>0.19282136894824708</c:v>
                </c:pt>
                <c:pt idx="4">
                  <c:v>0.18129447644866148</c:v>
                </c:pt>
                <c:pt idx="5">
                  <c:v>0.14803012746234068</c:v>
                </c:pt>
                <c:pt idx="6">
                  <c:v>0.25120267726417067</c:v>
                </c:pt>
                <c:pt idx="7">
                  <c:v>0.31325497877897485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DE-4BE2-BCDE-A46A00B1277C}"/>
            </c:ext>
          </c:extLst>
        </c:ser>
        <c:ser>
          <c:idx val="2"/>
          <c:order val="2"/>
          <c:tx>
            <c:strRef>
              <c:f>Analysis!$B$21</c:f>
              <c:strCache>
                <c:ptCount val="1"/>
                <c:pt idx="0">
                  <c:v>PROPRIETARY RATIO=EQ SH FUNDS/TOTAL CPL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Analysis!$C$17:$J$17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Analysis!$C$21:$J$21</c:f>
              <c:numCache>
                <c:formatCode>0.000</c:formatCode>
                <c:ptCount val="8"/>
                <c:pt idx="0">
                  <c:v>0.35643970467596392</c:v>
                </c:pt>
                <c:pt idx="1">
                  <c:v>0.70822622107969146</c:v>
                </c:pt>
                <c:pt idx="2">
                  <c:v>0.78037135278514591</c:v>
                </c:pt>
                <c:pt idx="3">
                  <c:v>0.80717863105175292</c:v>
                </c:pt>
                <c:pt idx="4">
                  <c:v>0.81870552355133852</c:v>
                </c:pt>
                <c:pt idx="5">
                  <c:v>0.85196987253765932</c:v>
                </c:pt>
                <c:pt idx="6">
                  <c:v>0.74879732273582933</c:v>
                </c:pt>
                <c:pt idx="7">
                  <c:v>0.6867450212210251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DE-4BE2-BCDE-A46A00B12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771184"/>
        <c:axId val="2124768304"/>
      </c:lineChart>
      <c:catAx>
        <c:axId val="2124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768304"/>
        <c:crosses val="autoZero"/>
        <c:auto val="1"/>
        <c:lblAlgn val="ctr"/>
        <c:lblOffset val="100"/>
        <c:noMultiLvlLbl val="0"/>
      </c:catAx>
      <c:valAx>
        <c:axId val="212476830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INTEREST COVERAGE RATIO= EBIT/INT PAID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Analysis!$C$17:$J$17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Analysis!$C$20:$J$20</c:f>
              <c:numCache>
                <c:formatCode>0.000</c:formatCode>
                <c:ptCount val="8"/>
                <c:pt idx="0">
                  <c:v>2.4319199999999999</c:v>
                </c:pt>
                <c:pt idx="1">
                  <c:v>4.3148580968280479</c:v>
                </c:pt>
                <c:pt idx="2">
                  <c:v>13.259439707673568</c:v>
                </c:pt>
                <c:pt idx="3">
                  <c:v>15.846837944664033</c:v>
                </c:pt>
                <c:pt idx="4">
                  <c:v>13.090650483595677</c:v>
                </c:pt>
                <c:pt idx="5">
                  <c:v>9.6519189085808996</c:v>
                </c:pt>
                <c:pt idx="6">
                  <c:v>8.5225225225225234</c:v>
                </c:pt>
                <c:pt idx="7">
                  <c:v>9.1980198019801982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5-4B5E-82B1-04025130A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790864"/>
        <c:axId val="2124791344"/>
      </c:lineChart>
      <c:catAx>
        <c:axId val="212479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791344"/>
        <c:crosses val="autoZero"/>
        <c:auto val="1"/>
        <c:lblAlgn val="ctr"/>
        <c:lblOffset val="100"/>
        <c:noMultiLvlLbl val="0"/>
      </c:catAx>
      <c:valAx>
        <c:axId val="212479134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79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Turnover Ratio/Efficiency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Debtors Turnover Ratio = Net Credit Sales/Average Debtors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Analysis!$C$24:$J$24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Analysis!$C$25:$J$25</c:f>
              <c:numCache>
                <c:formatCode>0.00</c:formatCode>
                <c:ptCount val="8"/>
                <c:pt idx="0">
                  <c:v>12.279369051342776</c:v>
                </c:pt>
                <c:pt idx="1">
                  <c:v>23.8816337871631</c:v>
                </c:pt>
                <c:pt idx="2">
                  <c:v>22.703880850033297</c:v>
                </c:pt>
                <c:pt idx="3">
                  <c:v>11.656357388316151</c:v>
                </c:pt>
                <c:pt idx="4">
                  <c:v>12.079522862823062</c:v>
                </c:pt>
                <c:pt idx="5">
                  <c:v>12.060606060606061</c:v>
                </c:pt>
                <c:pt idx="6">
                  <c:v>10.731414868105515</c:v>
                </c:pt>
                <c:pt idx="7">
                  <c:v>11.123470522803114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F-4D0D-8BC0-139CF82D4466}"/>
            </c:ext>
          </c:extLst>
        </c:ser>
        <c:ser>
          <c:idx val="1"/>
          <c:order val="1"/>
          <c:tx>
            <c:strRef>
              <c:f>Analysis!$B$26</c:f>
              <c:strCache>
                <c:ptCount val="1"/>
                <c:pt idx="0">
                  <c:v>Creditors Turnover Ratio = NetCredit Purchases/Average Payables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Analysis!$C$24:$J$24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Analysis!$C$26:$J$26</c:f>
              <c:numCache>
                <c:formatCode>0.00</c:formatCode>
                <c:ptCount val="8"/>
                <c:pt idx="0">
                  <c:v>7.2418257261410783</c:v>
                </c:pt>
                <c:pt idx="1">
                  <c:v>11.70826858153368</c:v>
                </c:pt>
                <c:pt idx="2">
                  <c:v>10.677609385227328</c:v>
                </c:pt>
                <c:pt idx="3">
                  <c:v>5.4604255319148933</c:v>
                </c:pt>
                <c:pt idx="4">
                  <c:v>8.1612262156448203</c:v>
                </c:pt>
                <c:pt idx="5">
                  <c:v>9.6893249607535328</c:v>
                </c:pt>
                <c:pt idx="6">
                  <c:v>8.8430434782608689</c:v>
                </c:pt>
                <c:pt idx="7">
                  <c:v>11.096610169491525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F-4D0D-8BC0-139CF82D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517440"/>
        <c:axId val="1728518400"/>
      </c:barChart>
      <c:lineChart>
        <c:grouping val="standard"/>
        <c:varyColors val="0"/>
        <c:ser>
          <c:idx val="2"/>
          <c:order val="2"/>
          <c:tx>
            <c:strRef>
              <c:f>Analysis!$B$27</c:f>
              <c:strCache>
                <c:ptCount val="1"/>
                <c:pt idx="0">
                  <c:v>Float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Analysis!$C$24:$J$24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Analysis!$C$27:$J$27</c:f>
              <c:numCache>
                <c:formatCode>0.00</c:formatCode>
                <c:ptCount val="8"/>
                <c:pt idx="0">
                  <c:v>-20.677000454776195</c:v>
                </c:pt>
                <c:pt idx="1">
                  <c:v>-15.890838171865154</c:v>
                </c:pt>
                <c:pt idx="2">
                  <c:v>-18.107134982615644</c:v>
                </c:pt>
                <c:pt idx="3">
                  <c:v>-35.531222797957938</c:v>
                </c:pt>
                <c:pt idx="4">
                  <c:v>-14.507246182754642</c:v>
                </c:pt>
                <c:pt idx="5">
                  <c:v>-7.4065038092065905</c:v>
                </c:pt>
                <c:pt idx="6">
                  <c:v>-7.2630917677214768</c:v>
                </c:pt>
                <c:pt idx="7">
                  <c:v>-7.9428058652815992E-2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DF-4D0D-8BC0-139CF82D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517440"/>
        <c:axId val="1728518400"/>
      </c:lineChart>
      <c:catAx>
        <c:axId val="172851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518400"/>
        <c:crosses val="autoZero"/>
        <c:auto val="1"/>
        <c:lblAlgn val="ctr"/>
        <c:lblOffset val="100"/>
        <c:noMultiLvlLbl val="0"/>
      </c:catAx>
      <c:valAx>
        <c:axId val="17285184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5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Turnover Ratio/Efficiency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Inventory Turnover Ratio = COGS/Average Inventory at 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Analysis!$C$24:$J$24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Analysis!$C$28:$J$28</c:f>
              <c:numCache>
                <c:formatCode>0.00</c:formatCode>
                <c:ptCount val="8"/>
                <c:pt idx="0">
                  <c:v>22.552949372967948</c:v>
                </c:pt>
                <c:pt idx="1">
                  <c:v>28.237860661505984</c:v>
                </c:pt>
                <c:pt idx="2">
                  <c:v>25.492873218304577</c:v>
                </c:pt>
                <c:pt idx="3">
                  <c:v>14.353443590340865</c:v>
                </c:pt>
                <c:pt idx="4">
                  <c:v>25.922260641468938</c:v>
                </c:pt>
                <c:pt idx="5">
                  <c:v>35.92300005259559</c:v>
                </c:pt>
                <c:pt idx="6">
                  <c:v>30.028721476042197</c:v>
                </c:pt>
                <c:pt idx="7">
                  <c:v>33.361981981981984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6-4674-91E4-9C47263279F7}"/>
            </c:ext>
          </c:extLst>
        </c:ser>
        <c:ser>
          <c:idx val="2"/>
          <c:order val="2"/>
          <c:tx>
            <c:strRef>
              <c:f>Analysis!$B$30</c:f>
              <c:strCache>
                <c:ptCount val="1"/>
                <c:pt idx="0">
                  <c:v>Fixed Asset Turnover Ratio = Revenue from operations/Net Fixed Assets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Analysis!$C$24:$J$24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Analysis!$C$30:$J$30</c:f>
              <c:numCache>
                <c:formatCode>0.00</c:formatCode>
                <c:ptCount val="8"/>
                <c:pt idx="0">
                  <c:v>1.3753753753753755</c:v>
                </c:pt>
                <c:pt idx="1">
                  <c:v>1.4692307692307693</c:v>
                </c:pt>
                <c:pt idx="2">
                  <c:v>1.2175324675324675</c:v>
                </c:pt>
                <c:pt idx="3">
                  <c:v>0.8173493975903614</c:v>
                </c:pt>
                <c:pt idx="4">
                  <c:v>1.0461432506887052</c:v>
                </c:pt>
                <c:pt idx="5">
                  <c:v>1.107233181588265</c:v>
                </c:pt>
                <c:pt idx="6">
                  <c:v>0.95701454234388361</c:v>
                </c:pt>
                <c:pt idx="7">
                  <c:v>0.90530508781459351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6-4674-91E4-9C4726327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249856"/>
        <c:axId val="144252256"/>
      </c:barChart>
      <c:lineChart>
        <c:grouping val="standard"/>
        <c:varyColors val="0"/>
        <c:ser>
          <c:idx val="1"/>
          <c:order val="1"/>
          <c:tx>
            <c:strRef>
              <c:f>Analysis!$B$29</c:f>
              <c:strCache>
                <c:ptCount val="1"/>
                <c:pt idx="0">
                  <c:v>Working Capital Turnover Ratio = COGS/Net WorkingCapital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Analysis!$C$24:$J$24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Analysis!$C$29:$J$29</c:f>
              <c:numCache>
                <c:formatCode>0.00</c:formatCode>
                <c:ptCount val="8"/>
                <c:pt idx="0">
                  <c:v>3.3837282229965151</c:v>
                </c:pt>
                <c:pt idx="1">
                  <c:v>6.6141758241758239</c:v>
                </c:pt>
                <c:pt idx="2">
                  <c:v>-36.041515151515156</c:v>
                </c:pt>
                <c:pt idx="3">
                  <c:v>-1.579982905982906</c:v>
                </c:pt>
                <c:pt idx="4">
                  <c:v>-1.9728675136116152</c:v>
                </c:pt>
                <c:pt idx="5">
                  <c:v>-2.5580674157303371</c:v>
                </c:pt>
                <c:pt idx="6">
                  <c:v>-4.1471630295250321</c:v>
                </c:pt>
                <c:pt idx="7">
                  <c:v>-8.8805275779376487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D6-4674-91E4-9C4726327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49856"/>
        <c:axId val="144252256"/>
      </c:lineChart>
      <c:catAx>
        <c:axId val="1442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252256"/>
        <c:crosses val="autoZero"/>
        <c:auto val="1"/>
        <c:lblAlgn val="ctr"/>
        <c:lblOffset val="100"/>
        <c:noMultiLvlLbl val="0"/>
      </c:catAx>
      <c:valAx>
        <c:axId val="14425225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2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VALUATION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Analysis!$B$34</c:f>
              <c:strCache>
                <c:ptCount val="1"/>
                <c:pt idx="0">
                  <c:v>PRICE EARNINGS RATIO=MPS/EPS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Analysis!$C$33:$J$33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Analysis!$C$34:$J$34</c:f>
              <c:numCache>
                <c:formatCode>0.00</c:formatCode>
                <c:ptCount val="8"/>
                <c:pt idx="0">
                  <c:v>159.9111111111111</c:v>
                </c:pt>
                <c:pt idx="1">
                  <c:v>78.152838427947586</c:v>
                </c:pt>
                <c:pt idx="2">
                  <c:v>94.761467889908261</c:v>
                </c:pt>
                <c:pt idx="3">
                  <c:v>409.06695464362849</c:v>
                </c:pt>
                <c:pt idx="4">
                  <c:v>798.06188605108059</c:v>
                </c:pt>
                <c:pt idx="5">
                  <c:v>199.03754578754578</c:v>
                </c:pt>
                <c:pt idx="6">
                  <c:v>125.32260479041916</c:v>
                </c:pt>
                <c:pt idx="7">
                  <c:v>95.316513761467903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9-4643-B2E4-A27500360BA5}"/>
            </c:ext>
          </c:extLst>
        </c:ser>
        <c:ser>
          <c:idx val="1"/>
          <c:order val="1"/>
          <c:tx>
            <c:strRef>
              <c:f>Analysis!$B$35</c:f>
              <c:strCache>
                <c:ptCount val="1"/>
                <c:pt idx="0">
                  <c:v>PRICE BOOK RATIO=MPS/BVPS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Analysis!$C$33:$J$33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Analysis!$C$35:$J$35</c:f>
              <c:numCache>
                <c:formatCode>0.00</c:formatCode>
                <c:ptCount val="8"/>
                <c:pt idx="0">
                  <c:v>29.810817031070194</c:v>
                </c:pt>
                <c:pt idx="1">
                  <c:v>16.240471869328495</c:v>
                </c:pt>
                <c:pt idx="2">
                  <c:v>28.087015635622027</c:v>
                </c:pt>
                <c:pt idx="3">
                  <c:v>97.930713547052733</c:v>
                </c:pt>
                <c:pt idx="4">
                  <c:v>168.13472682119203</c:v>
                </c:pt>
                <c:pt idx="5">
                  <c:v>36.951547092825571</c:v>
                </c:pt>
                <c:pt idx="6">
                  <c:v>23.384217877094969</c:v>
                </c:pt>
                <c:pt idx="7">
                  <c:v>14.817447111956266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99-4643-B2E4-A27500360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324400"/>
        <c:axId val="2093322000"/>
      </c:lineChart>
      <c:catAx>
        <c:axId val="209332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3322000"/>
        <c:crosses val="autoZero"/>
        <c:auto val="1"/>
        <c:lblAlgn val="ctr"/>
        <c:lblOffset val="100"/>
        <c:noMultiLvlLbl val="0"/>
      </c:catAx>
      <c:valAx>
        <c:axId val="20933220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33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Analysis!$B$34</c:f>
              <c:strCache>
                <c:ptCount val="1"/>
                <c:pt idx="0">
                  <c:v>PRICE EARNINGS RATIO=MPS/EPS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Analysis!$C$33:$J$33</c:f>
              <c:strCache>
                <c:ptCount val="8"/>
                <c:pt idx="0">
                  <c:v>Mar'18</c:v>
                </c:pt>
                <c:pt idx="1">
                  <c:v>Mar'19</c:v>
                </c:pt>
                <c:pt idx="2">
                  <c:v>Mar'20</c:v>
                </c:pt>
                <c:pt idx="3">
                  <c:v>Mar'21</c:v>
                </c:pt>
                <c:pt idx="4">
                  <c:v>Mar'22</c:v>
                </c:pt>
                <c:pt idx="5">
                  <c:v>Mar'23</c:v>
                </c:pt>
                <c:pt idx="6">
                  <c:v>Mar'24</c:v>
                </c:pt>
                <c:pt idx="7">
                  <c:v>Mar'25</c:v>
                </c:pt>
              </c:strCache>
            </c:strRef>
          </c:cat>
          <c:val>
            <c:numRef>
              <c:f>Analysis!$C$34:$J$34</c:f>
              <c:numCache>
                <c:formatCode>0.00</c:formatCode>
                <c:ptCount val="8"/>
                <c:pt idx="0">
                  <c:v>159.9111111111111</c:v>
                </c:pt>
                <c:pt idx="1">
                  <c:v>78.152838427947586</c:v>
                </c:pt>
                <c:pt idx="2">
                  <c:v>94.761467889908261</c:v>
                </c:pt>
                <c:pt idx="3">
                  <c:v>409.06695464362849</c:v>
                </c:pt>
                <c:pt idx="4">
                  <c:v>798.06188605108059</c:v>
                </c:pt>
                <c:pt idx="5">
                  <c:v>199.03754578754578</c:v>
                </c:pt>
                <c:pt idx="6">
                  <c:v>125.32260479041916</c:v>
                </c:pt>
                <c:pt idx="7">
                  <c:v>95.316513761467903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7-42FC-8467-BF054B73D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293920"/>
        <c:axId val="1665294400"/>
      </c:lineChart>
      <c:catAx>
        <c:axId val="16652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5294400"/>
        <c:crosses val="autoZero"/>
        <c:auto val="1"/>
        <c:lblAlgn val="ctr"/>
        <c:lblOffset val="100"/>
        <c:noMultiLvlLbl val="0"/>
      </c:catAx>
      <c:valAx>
        <c:axId val="16652944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52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CA Vs</a:t>
            </a:r>
            <a:r>
              <a:rPr lang="de-DE" baseline="0"/>
              <a:t> CL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ATFL_BS_Consolidated!$B$40</c:f>
              <c:strCache>
                <c:ptCount val="1"/>
                <c:pt idx="0">
                  <c:v> Current Assets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ATFL_BS_Consolidated!$C$16:$L$16</c:f>
              <c:strCache>
                <c:ptCount val="10"/>
                <c:pt idx="1">
                  <c:v>Mar'18</c:v>
                </c:pt>
                <c:pt idx="2">
                  <c:v>Mar'19</c:v>
                </c:pt>
                <c:pt idx="3">
                  <c:v>Mar'20</c:v>
                </c:pt>
                <c:pt idx="4">
                  <c:v>Mar'21</c:v>
                </c:pt>
                <c:pt idx="5">
                  <c:v>Mar'22</c:v>
                </c:pt>
                <c:pt idx="6">
                  <c:v>Mar'23</c:v>
                </c:pt>
                <c:pt idx="7">
                  <c:v>Mar'24</c:v>
                </c:pt>
                <c:pt idx="8">
                  <c:v>Mar'25</c:v>
                </c:pt>
                <c:pt idx="9">
                  <c:v>Sep'25</c:v>
                </c:pt>
              </c:strCache>
            </c:strRef>
          </c:cat>
          <c:val>
            <c:numRef>
              <c:f>ATFL_BS_Consolidated!$C$39:$L$39</c:f>
              <c:numCache>
                <c:formatCode>General</c:formatCode>
                <c:ptCount val="10"/>
                <c:pt idx="1">
                  <c:v>651</c:v>
                </c:pt>
                <c:pt idx="2">
                  <c:v>674</c:v>
                </c:pt>
                <c:pt idx="3">
                  <c:v>558</c:v>
                </c:pt>
                <c:pt idx="4">
                  <c:v>223</c:v>
                </c:pt>
                <c:pt idx="5">
                  <c:v>362</c:v>
                </c:pt>
                <c:pt idx="6">
                  <c:v>858</c:v>
                </c:pt>
                <c:pt idx="7" formatCode="#,##0">
                  <c:v>1032</c:v>
                </c:pt>
                <c:pt idx="8" formatCode="#,##0">
                  <c:v>1121</c:v>
                </c:pt>
                <c:pt idx="9" formatCode="#,##0">
                  <c:v>1253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E-4642-8A4A-16BFB25F30A9}"/>
            </c:ext>
          </c:extLst>
        </c:ser>
        <c:ser>
          <c:idx val="1"/>
          <c:order val="1"/>
          <c:tx>
            <c:strRef>
              <c:f>ATFL_BS_Consolidated!$B$76</c:f>
              <c:strCache>
                <c:ptCount val="1"/>
                <c:pt idx="0">
                  <c:v> Current Liabilities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ATFL_BS_Consolidated!$C$16:$L$16</c:f>
              <c:strCache>
                <c:ptCount val="10"/>
                <c:pt idx="1">
                  <c:v>Mar'18</c:v>
                </c:pt>
                <c:pt idx="2">
                  <c:v>Mar'19</c:v>
                </c:pt>
                <c:pt idx="3">
                  <c:v>Mar'20</c:v>
                </c:pt>
                <c:pt idx="4">
                  <c:v>Mar'21</c:v>
                </c:pt>
                <c:pt idx="5">
                  <c:v>Mar'22</c:v>
                </c:pt>
                <c:pt idx="6">
                  <c:v>Mar'23</c:v>
                </c:pt>
                <c:pt idx="7">
                  <c:v>Mar'24</c:v>
                </c:pt>
                <c:pt idx="8">
                  <c:v>Mar'25</c:v>
                </c:pt>
                <c:pt idx="9">
                  <c:v>Sep'25</c:v>
                </c:pt>
              </c:strCache>
            </c:strRef>
          </c:cat>
          <c:val>
            <c:numRef>
              <c:f>ATFL_BS_Consolidated!$C$75:$L$75</c:f>
              <c:numCache>
                <c:formatCode>General</c:formatCode>
                <c:ptCount val="10"/>
                <c:pt idx="1">
                  <c:v>364</c:v>
                </c:pt>
                <c:pt idx="2">
                  <c:v>492</c:v>
                </c:pt>
                <c:pt idx="3">
                  <c:v>591</c:v>
                </c:pt>
                <c:pt idx="4">
                  <c:v>808</c:v>
                </c:pt>
                <c:pt idx="5" formatCode="#,##0">
                  <c:v>1464</c:v>
                </c:pt>
                <c:pt idx="6" formatCode="#,##0">
                  <c:v>2193</c:v>
                </c:pt>
                <c:pt idx="7" formatCode="#,##0">
                  <c:v>1811</c:v>
                </c:pt>
                <c:pt idx="8" formatCode="#,##0">
                  <c:v>1538</c:v>
                </c:pt>
                <c:pt idx="9" formatCode="#,##0">
                  <c:v>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E-4642-8A4A-16BFB25F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667968"/>
        <c:axId val="1833666048"/>
      </c:lineChart>
      <c:catAx>
        <c:axId val="18336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3666048"/>
        <c:crosses val="autoZero"/>
        <c:auto val="1"/>
        <c:lblAlgn val="ctr"/>
        <c:lblOffset val="100"/>
        <c:noMultiLvlLbl val="0"/>
      </c:catAx>
      <c:valAx>
        <c:axId val="183366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366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Revenue</a:t>
            </a:r>
            <a:r>
              <a:rPr lang="de-DE" baseline="0"/>
              <a:t> Vs Net Profit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'ATGL_P&amp;L_Consolidated'!$B$23</c:f>
              <c:strCache>
                <c:ptCount val="1"/>
                <c:pt idx="0">
                  <c:v>Net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3.4930008748906387E-3"/>
                  <c:y val="6.2534631087780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37-4E5A-A728-BCD735026626}"/>
                </c:ext>
              </c:extLst>
            </c:dLbl>
            <c:dLbl>
              <c:idx val="2"/>
              <c:layout>
                <c:manualLayout>
                  <c:x val="1.1826334208224022E-2"/>
                  <c:y val="9.95716681248176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37-4E5A-A728-BCD735026626}"/>
                </c:ext>
              </c:extLst>
            </c:dLbl>
            <c:dLbl>
              <c:idx val="3"/>
              <c:layout>
                <c:manualLayout>
                  <c:x val="9.0485564304461936E-3"/>
                  <c:y val="5.7905001458151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37-4E5A-A728-BCD735026626}"/>
                </c:ext>
              </c:extLst>
            </c:dLbl>
            <c:dLbl>
              <c:idx val="4"/>
              <c:layout>
                <c:manualLayout>
                  <c:x val="2.2937445319335083E-2"/>
                  <c:y val="1.1608705161854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37-4E5A-A728-BCD735026626}"/>
                </c:ext>
              </c:extLst>
            </c:dLbl>
            <c:dLbl>
              <c:idx val="5"/>
              <c:layout>
                <c:manualLayout>
                  <c:x val="1.7381889763779426E-2"/>
                  <c:y val="3.4756853310002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37-4E5A-A728-BCD735026626}"/>
                </c:ext>
              </c:extLst>
            </c:dLbl>
            <c:dLbl>
              <c:idx val="6"/>
              <c:layout>
                <c:manualLayout>
                  <c:x val="-2.0625546806649171E-3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37-4E5A-A728-BCD735026626}"/>
                </c:ext>
              </c:extLst>
            </c:dLbl>
            <c:dLbl>
              <c:idx val="7"/>
              <c:layout>
                <c:manualLayout>
                  <c:x val="9.0485564304461936E-3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37-4E5A-A728-BCD735026626}"/>
                </c:ext>
              </c:extLst>
            </c:dLbl>
            <c:dLbl>
              <c:idx val="8"/>
              <c:layout>
                <c:manualLayout>
                  <c:x val="7.152230971128609E-4"/>
                  <c:y val="4.4016112569262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37-4E5A-A728-BCD735026626}"/>
                </c:ext>
              </c:extLst>
            </c:dLbl>
            <c:dLbl>
              <c:idx val="9"/>
              <c:layout>
                <c:manualLayout>
                  <c:x val="-1.536307961504812E-3"/>
                  <c:y val="7.179389034703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C37-4E5A-A728-BCD7350266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'ATGL_P&amp;L_Consolidated'!$C$18:$L$18</c:f>
              <c:strCache>
                <c:ptCount val="10"/>
                <c:pt idx="1">
                  <c:v>Mar'18</c:v>
                </c:pt>
                <c:pt idx="2">
                  <c:v>Mar'19</c:v>
                </c:pt>
                <c:pt idx="3">
                  <c:v>Mar'20</c:v>
                </c:pt>
                <c:pt idx="4">
                  <c:v>Mar'21</c:v>
                </c:pt>
                <c:pt idx="5">
                  <c:v>Mar'22</c:v>
                </c:pt>
                <c:pt idx="6">
                  <c:v>Mar'23</c:v>
                </c:pt>
                <c:pt idx="7">
                  <c:v>Mar'24</c:v>
                </c:pt>
                <c:pt idx="8">
                  <c:v>Mar'25</c:v>
                </c:pt>
                <c:pt idx="9">
                  <c:v>Sep'25</c:v>
                </c:pt>
              </c:strCache>
            </c:strRef>
          </c:cat>
          <c:val>
            <c:numRef>
              <c:f>'ATGL_P&amp;L_Consolidated'!$C$23:$L$23</c:f>
              <c:numCache>
                <c:formatCode>#,##0</c:formatCode>
                <c:ptCount val="10"/>
                <c:pt idx="1">
                  <c:v>1374</c:v>
                </c:pt>
                <c:pt idx="2">
                  <c:v>1719</c:v>
                </c:pt>
                <c:pt idx="3">
                  <c:v>1875</c:v>
                </c:pt>
                <c:pt idx="4">
                  <c:v>1696</c:v>
                </c:pt>
                <c:pt idx="5">
                  <c:v>3038</c:v>
                </c:pt>
                <c:pt idx="6">
                  <c:v>4378</c:v>
                </c:pt>
                <c:pt idx="7">
                  <c:v>4475</c:v>
                </c:pt>
                <c:pt idx="8">
                  <c:v>5000</c:v>
                </c:pt>
                <c:pt idx="9">
                  <c:v>5929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7-4E5A-A728-BCD735026626}"/>
            </c:ext>
          </c:extLst>
        </c:ser>
        <c:ser>
          <c:idx val="1"/>
          <c:order val="1"/>
          <c:tx>
            <c:strRef>
              <c:f>'ATGL_P&amp;L_Consolidated'!$B$79</c:f>
              <c:strCache>
                <c:ptCount val="1"/>
                <c:pt idx="0">
                  <c:v>Net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4.816666666666667E-2"/>
                  <c:y val="-7.1724628171478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37-4E5A-A728-BCD735026626}"/>
                </c:ext>
              </c:extLst>
            </c:dLbl>
            <c:dLbl>
              <c:idx val="2"/>
              <c:layout>
                <c:manualLayout>
                  <c:x val="-3.15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37-4E5A-A728-BCD735026626}"/>
                </c:ext>
              </c:extLst>
            </c:dLbl>
            <c:dLbl>
              <c:idx val="3"/>
              <c:layout>
                <c:manualLayout>
                  <c:x val="-4.5388888888888888E-2"/>
                  <c:y val="-9.9502405949256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37-4E5A-A728-BCD7350266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'ATGL_P&amp;L_Consolidated'!$C$18:$L$18</c:f>
              <c:strCache>
                <c:ptCount val="10"/>
                <c:pt idx="1">
                  <c:v>Mar'18</c:v>
                </c:pt>
                <c:pt idx="2">
                  <c:v>Mar'19</c:v>
                </c:pt>
                <c:pt idx="3">
                  <c:v>Mar'20</c:v>
                </c:pt>
                <c:pt idx="4">
                  <c:v>Mar'21</c:v>
                </c:pt>
                <c:pt idx="5">
                  <c:v>Mar'22</c:v>
                </c:pt>
                <c:pt idx="6">
                  <c:v>Mar'23</c:v>
                </c:pt>
                <c:pt idx="7">
                  <c:v>Mar'24</c:v>
                </c:pt>
                <c:pt idx="8">
                  <c:v>Mar'25</c:v>
                </c:pt>
                <c:pt idx="9">
                  <c:v>Sep'25</c:v>
                </c:pt>
              </c:strCache>
            </c:strRef>
          </c:cat>
          <c:val>
            <c:numRef>
              <c:f>'ATGL_P&amp;L_Consolidated'!$C$79:$L$79</c:f>
              <c:numCache>
                <c:formatCode>General</c:formatCode>
                <c:ptCount val="10"/>
                <c:pt idx="1">
                  <c:v>162</c:v>
                </c:pt>
                <c:pt idx="2">
                  <c:v>229</c:v>
                </c:pt>
                <c:pt idx="3">
                  <c:v>436</c:v>
                </c:pt>
                <c:pt idx="4">
                  <c:v>463</c:v>
                </c:pt>
                <c:pt idx="5">
                  <c:v>509</c:v>
                </c:pt>
                <c:pt idx="6">
                  <c:v>546</c:v>
                </c:pt>
                <c:pt idx="7">
                  <c:v>668</c:v>
                </c:pt>
                <c:pt idx="8">
                  <c:v>654</c:v>
                </c:pt>
                <c:pt idx="9">
                  <c:v>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7-4E5A-A728-BCD7350266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0993936"/>
        <c:axId val="1171412512"/>
      </c:lineChart>
      <c:catAx>
        <c:axId val="8109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1412512"/>
        <c:crosses val="autoZero"/>
        <c:auto val="1"/>
        <c:lblAlgn val="ctr"/>
        <c:lblOffset val="100"/>
        <c:noMultiLvlLbl val="0"/>
      </c:catAx>
      <c:valAx>
        <c:axId val="117141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09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148815</xdr:colOff>
      <xdr:row>1</xdr:row>
      <xdr:rowOff>89647</xdr:rowOff>
    </xdr:from>
    <xdr:to>
      <xdr:col>3</xdr:col>
      <xdr:colOff>1047975</xdr:colOff>
      <xdr:row>4</xdr:row>
      <xdr:rowOff>167759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745AE-7CE4-443C-A4B3-99432991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4235" y="272527"/>
          <a:ext cx="899160" cy="87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315685</xdr:colOff>
      <xdr:row>0</xdr:row>
      <xdr:rowOff>87087</xdr:rowOff>
    </xdr:from>
    <xdr:to>
      <xdr:col>21</xdr:col>
      <xdr:colOff>272143</xdr:colOff>
      <xdr:row>7</xdr:row>
      <xdr:rowOff>163287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1AFFB1-C1F6-BCCE-3CCB-C780F67F8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413655</xdr:colOff>
      <xdr:row>8</xdr:row>
      <xdr:rowOff>212272</xdr:rowOff>
    </xdr:from>
    <xdr:to>
      <xdr:col>21</xdr:col>
      <xdr:colOff>261256</xdr:colOff>
      <xdr:row>15</xdr:row>
      <xdr:rowOff>27215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EC6E82-0379-9AE1-F172-C9570F4A3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326571</xdr:colOff>
      <xdr:row>8</xdr:row>
      <xdr:rowOff>234043</xdr:rowOff>
    </xdr:from>
    <xdr:to>
      <xdr:col>29</xdr:col>
      <xdr:colOff>21771</xdr:colOff>
      <xdr:row>15</xdr:row>
      <xdr:rowOff>10886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24912FA-AF3E-627C-4A5C-D4F0C22F7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97971</xdr:colOff>
      <xdr:row>8</xdr:row>
      <xdr:rowOff>266699</xdr:rowOff>
    </xdr:from>
    <xdr:to>
      <xdr:col>36</xdr:col>
      <xdr:colOff>402771</xdr:colOff>
      <xdr:row>15</xdr:row>
      <xdr:rowOff>32657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A20B269-DF69-A634-1F19-39223B17E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32657</xdr:colOff>
      <xdr:row>15</xdr:row>
      <xdr:rowOff>157843</xdr:rowOff>
    </xdr:from>
    <xdr:to>
      <xdr:col>18</xdr:col>
      <xdr:colOff>337457</xdr:colOff>
      <xdr:row>22</xdr:row>
      <xdr:rowOff>10885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F8FDD6E-ED74-2961-3B7C-C9F5C5546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511628</xdr:colOff>
      <xdr:row>15</xdr:row>
      <xdr:rowOff>168729</xdr:rowOff>
    </xdr:from>
    <xdr:to>
      <xdr:col>26</xdr:col>
      <xdr:colOff>206828</xdr:colOff>
      <xdr:row>20</xdr:row>
      <xdr:rowOff>293915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213804F-DF28-3775-4230-359DE47D7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97971</xdr:colOff>
      <xdr:row>22</xdr:row>
      <xdr:rowOff>48985</xdr:rowOff>
    </xdr:from>
    <xdr:to>
      <xdr:col>18</xdr:col>
      <xdr:colOff>402771</xdr:colOff>
      <xdr:row>29</xdr:row>
      <xdr:rowOff>244928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5D7C5F-014A-66DB-E0D5-D5437E667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555171</xdr:colOff>
      <xdr:row>22</xdr:row>
      <xdr:rowOff>27214</xdr:rowOff>
    </xdr:from>
    <xdr:to>
      <xdr:col>26</xdr:col>
      <xdr:colOff>250371</xdr:colOff>
      <xdr:row>29</xdr:row>
      <xdr:rowOff>223157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CE7FF22-9847-CE5D-5CA8-543F81AFC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10886</xdr:colOff>
      <xdr:row>31</xdr:row>
      <xdr:rowOff>152400</xdr:rowOff>
    </xdr:from>
    <xdr:to>
      <xdr:col>18</xdr:col>
      <xdr:colOff>315686</xdr:colOff>
      <xdr:row>41</xdr:row>
      <xdr:rowOff>92528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0A6FA9F-4E1D-5965-32D8-B4C5E5C26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555170</xdr:colOff>
      <xdr:row>32</xdr:row>
      <xdr:rowOff>27214</xdr:rowOff>
    </xdr:from>
    <xdr:to>
      <xdr:col>26</xdr:col>
      <xdr:colOff>359227</xdr:colOff>
      <xdr:row>41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478AE-B309-3660-DFD6-DC38CDBE9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441960</xdr:colOff>
      <xdr:row>5</xdr:row>
      <xdr:rowOff>45720</xdr:rowOff>
    </xdr:from>
    <xdr:to>
      <xdr:col>20</xdr:col>
      <xdr:colOff>137160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D8082-7F13-4F45-659E-F2206AE13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</xdr:colOff>
      <xdr:row>18</xdr:row>
      <xdr:rowOff>30480</xdr:rowOff>
    </xdr:from>
    <xdr:to>
      <xdr:col>20</xdr:col>
      <xdr:colOff>358140</xdr:colOff>
      <xdr:row>33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32AE2-BF9B-D416-205E-4831C42C0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07896-F244-4199-A4B4-08A17AA40036}" name="Table1" displayName="Table1" ref="B2:J73" totalsRowShown="0" headerRowDxfId="64" tableBorderDxfId="63">
  <autoFilter ref="B2:J73" xr:uid="{6FC07896-F244-4199-A4B4-08A17AA40036}"/>
  <tableColumns count="9">
    <tableColumn id="1" xr3:uid="{D3E00854-BEA4-4F80-AB9F-24BEF6419DB6}" name="Performance Period"/>
    <tableColumn id="2" xr3:uid="{6610F9DC-453A-49F0-9BB3-F237778A3782}" name="Mar'18"/>
    <tableColumn id="3" xr3:uid="{9376D4E6-066B-48BE-BF7D-68B15CA0CEB4}" name="Mar'19"/>
    <tableColumn id="4" xr3:uid="{DEBB6D20-AA3D-4EA4-A089-5C631B23ECD9}" name="Mar'20"/>
    <tableColumn id="5" xr3:uid="{3F5C885D-37B5-44B6-B070-D6402F708E76}" name="Mar'21"/>
    <tableColumn id="6" xr3:uid="{49200F25-F804-458A-B683-057E72B89D6C}" name="Mar'22"/>
    <tableColumn id="7" xr3:uid="{9904AF0E-2406-4380-92DA-0750F4096762}" name="Mar'23"/>
    <tableColumn id="8" xr3:uid="{A22EC2DB-D968-4FA7-97E0-53769D7E7106}" name="Mar'24"/>
    <tableColumn id="9" xr3:uid="{75A596EF-F928-4B1C-85C2-90386F533960}" name="Mar'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77241-B0C1-460F-84E4-1E470F92419E}" name="Table2" displayName="Table2" ref="B2:J5" totalsRowShown="0" headerRowDxfId="62" dataDxfId="61">
  <tableColumns count="9">
    <tableColumn id="1" xr3:uid="{D7F37F85-42E9-4FB7-8CCA-E4EC6A456763}" name="Liquidity Ratio" dataDxfId="60"/>
    <tableColumn id="2" xr3:uid="{95B7389E-90EC-4D09-B662-BAC4B5FC6CAE}" name="Mar'18" dataDxfId="59"/>
    <tableColumn id="3" xr3:uid="{3BA5874D-CFED-493C-A105-6273214F8B6C}" name="Mar'19" dataDxfId="58"/>
    <tableColumn id="4" xr3:uid="{A97A4840-189C-42DE-9E69-C3BBBA240196}" name="Mar'20" dataDxfId="57"/>
    <tableColumn id="5" xr3:uid="{4434BE3E-3CE9-4B91-856F-4F5C73795C70}" name="Mar'21" dataDxfId="56"/>
    <tableColumn id="6" xr3:uid="{E00A6926-7A80-4359-B5E9-30611E4B2AF7}" name="Mar'22" dataDxfId="55"/>
    <tableColumn id="7" xr3:uid="{9A9D59C1-FFF5-4B75-B44D-3FFA18450EB9}" name="Mar'23" dataDxfId="54"/>
    <tableColumn id="8" xr3:uid="{D842D278-CBA1-4CD2-B8A7-4749B5006E6B}" name="Mar'24" dataDxfId="53"/>
    <tableColumn id="9" xr3:uid="{D3659478-D552-4AB9-8DED-744FF0380F84}" name="Mar'25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518246-53C2-46D2-A9E2-FA61AA16B585}" name="Table4" displayName="Table4" ref="B17:J21" totalsRowShown="0" headerRowDxfId="51" dataDxfId="50">
  <tableColumns count="9">
    <tableColumn id="1" xr3:uid="{388C86C2-7F06-41F2-ADA4-564CDAD829CC}" name=" Solvency Ratios" dataDxfId="49"/>
    <tableColumn id="2" xr3:uid="{F0C23258-C914-40B3-BCE6-98E65C22503E}" name="Mar'18" dataDxfId="48"/>
    <tableColumn id="3" xr3:uid="{4F534B75-4C3B-4701-BE3D-F45E8AC5E180}" name="Mar'19" dataDxfId="47"/>
    <tableColumn id="4" xr3:uid="{0598A726-0CB8-49E5-92D0-5A7DFE241B6E}" name="Mar'20" dataDxfId="46"/>
    <tableColumn id="5" xr3:uid="{D63591FC-6AAB-4407-A402-9893327FF2D3}" name="Mar'21" dataDxfId="45"/>
    <tableColumn id="6" xr3:uid="{65E7EEA1-1FC4-4AC3-8BEB-EEBDF330CC24}" name="Mar'22" dataDxfId="44"/>
    <tableColumn id="7" xr3:uid="{952AE739-01A5-419A-8EE1-42F93049D19F}" name="Mar'23" dataDxfId="43"/>
    <tableColumn id="8" xr3:uid="{CC381351-5990-4C2C-AF7E-8B680B440BF9}" name="Mar'24" dataDxfId="42"/>
    <tableColumn id="9" xr3:uid="{732C8DC1-4D2A-4AAF-8D6D-51EA028FD26B}" name="Mar'25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27BC76-2F71-4887-AC5B-40E125845384}" name="Table5" displayName="Table5" ref="B24:J30" totalsRowShown="0" headerRowDxfId="40" dataDxfId="39">
  <tableColumns count="9">
    <tableColumn id="1" xr3:uid="{FD78E9A8-52C7-4196-BEF9-1FCCB86DB466}" name="Turnover Ratio/Efficiency Ratios" dataDxfId="38"/>
    <tableColumn id="2" xr3:uid="{A7041FA6-8B74-4217-9B68-94E639A6367A}" name="Mar'18" dataDxfId="37"/>
    <tableColumn id="3" xr3:uid="{389B294C-4CE5-4E94-84D3-B73746642CBB}" name="Mar'19" dataDxfId="36"/>
    <tableColumn id="4" xr3:uid="{76B448F5-E3BA-4D6A-BE71-76450EC97556}" name="Mar'20" dataDxfId="35"/>
    <tableColumn id="5" xr3:uid="{CB0E1BE3-2668-4857-AF29-41A662C55300}" name="Mar'21" dataDxfId="34"/>
    <tableColumn id="6" xr3:uid="{B2267406-A36D-423C-81BA-EDEDA32EDDC8}" name="Mar'22" dataDxfId="33"/>
    <tableColumn id="7" xr3:uid="{4DFDC5CD-CD36-4D24-91BA-DB8168BA05ED}" name="Mar'23" dataDxfId="32"/>
    <tableColumn id="8" xr3:uid="{55D7F8B4-4CF3-4D3D-A96C-2DAACB8A3757}" name="Mar'24" dataDxfId="31"/>
    <tableColumn id="9" xr3:uid="{3CB7A098-C00B-4BF6-96FE-2C360FA2E6BB}" name="Mar'25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EEE693-CA50-4DFF-9320-0D723B8394A3}" name="Table6" displayName="Table6" ref="B33:J35" totalsRowShown="0" headerRowDxfId="29" dataDxfId="28">
  <tableColumns count="9">
    <tableColumn id="1" xr3:uid="{D65099A1-00F6-4070-A271-9C5C8E52DC52}" name="VALUATION RATIOS" dataDxfId="27">
      <calculatedColumnFormula>'ATGL_Finanacial Ratios'!B70</calculatedColumnFormula>
    </tableColumn>
    <tableColumn id="2" xr3:uid="{DDD0C0BC-1CB9-4954-A777-C018FAB58C1C}" name="Mar'18" dataDxfId="26">
      <calculatedColumnFormula>'ATGL_Finanacial Ratios'!C70</calculatedColumnFormula>
    </tableColumn>
    <tableColumn id="3" xr3:uid="{996718D8-EF08-4E45-9047-E1527B496DA4}" name="Mar'19" dataDxfId="25">
      <calculatedColumnFormula>'ATGL_Finanacial Ratios'!D70</calculatedColumnFormula>
    </tableColumn>
    <tableColumn id="4" xr3:uid="{70EAA4AA-A282-4E72-BD7A-71C88ACAB723}" name="Mar'20" dataDxfId="24">
      <calculatedColumnFormula>'ATGL_Finanacial Ratios'!E70</calculatedColumnFormula>
    </tableColumn>
    <tableColumn id="5" xr3:uid="{9D0B695C-C5D2-4486-9C7F-0742DAAEBDEA}" name="Mar'21" dataDxfId="23">
      <calculatedColumnFormula>'ATGL_Finanacial Ratios'!F70</calculatedColumnFormula>
    </tableColumn>
    <tableColumn id="6" xr3:uid="{BCF77FE1-5068-4E00-ADE4-E16ED082D777}" name="Mar'22" dataDxfId="22">
      <calculatedColumnFormula>'ATGL_Finanacial Ratios'!G70</calculatedColumnFormula>
    </tableColumn>
    <tableColumn id="7" xr3:uid="{96B94F68-92B9-49E5-9F3E-62D88F665498}" name="Mar'23" dataDxfId="21">
      <calculatedColumnFormula>'ATGL_Finanacial Ratios'!H70</calculatedColumnFormula>
    </tableColumn>
    <tableColumn id="8" xr3:uid="{C9DC3DF0-1FF3-4D79-8D4B-AAA6EC0D9153}" name="Mar'24" dataDxfId="20">
      <calculatedColumnFormula>'ATGL_Finanacial Ratios'!I70</calculatedColumnFormula>
    </tableColumn>
    <tableColumn id="9" xr3:uid="{BC9D9064-D85A-4DDE-A660-E9B9D3BE3B21}" name="Mar'25" dataDxfId="19">
      <calculatedColumnFormula>'ATGL_Finanacial Ratios'!J70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0B7E73-CC32-4827-A7E9-B70629CD7053}" name="Table7" displayName="Table7" ref="B8:J14" totalsRowShown="0" headerRowDxfId="18" dataDxfId="17">
  <tableColumns count="9">
    <tableColumn id="1" xr3:uid="{E6765ED3-B7E2-4ECC-ABB1-5D036F4F4289}" name=" Profitability Ratios" dataDxfId="16"/>
    <tableColumn id="2" xr3:uid="{E8F158E3-F641-409E-A0CE-C32259455CA7}" name="Mar'18" dataDxfId="15"/>
    <tableColumn id="3" xr3:uid="{7967CE62-BDC8-468C-8A59-D93675EA92EE}" name="Mar'19" dataDxfId="14"/>
    <tableColumn id="4" xr3:uid="{22FF0D62-4E97-45A9-8876-CEACABAA60DE}" name="Mar'20" dataDxfId="13"/>
    <tableColumn id="5" xr3:uid="{685820AA-E9BE-4BEE-900A-DCCECAB08FD2}" name="Mar'21" dataDxfId="12"/>
    <tableColumn id="6" xr3:uid="{E94094AF-27D3-42E6-9015-12746C6CCE78}" name="Mar'22" dataDxfId="11"/>
    <tableColumn id="7" xr3:uid="{2DBE2496-029E-4CBE-BBEC-6CCBEF73454E}" name="Mar'23" dataDxfId="10"/>
    <tableColumn id="8" xr3:uid="{E37DF277-05A3-4004-B040-C74A0D571477}" name="Mar'24" dataDxfId="9"/>
    <tableColumn id="9" xr3:uid="{7165086B-D3D8-4FFC-BCF5-FCDC4C809773}" name="Mar'25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C01FCF-23B1-47FD-80C3-297836096F18}" name="Table3" displayName="Table3" ref="B40:J42" totalsRowShown="0" headerRowDxfId="7">
  <tableColumns count="9">
    <tableColumn id="1" xr3:uid="{4876C9AF-5D0B-4F9A-8252-63817C51D348}" name="CA Vs CL" dataDxfId="6"/>
    <tableColumn id="2" xr3:uid="{A818AA2C-F12D-48F9-9108-A6A3B8CAA07B}" name="Mar'18" dataDxfId="5"/>
    <tableColumn id="3" xr3:uid="{B5935932-AAD9-4A4D-8962-45D0F0C05D65}" name="Mar'19" dataDxfId="4"/>
    <tableColumn id="4" xr3:uid="{FA1CD0D3-E89A-4083-858B-56E5327CEF5A}" name="Mar'20" dataDxfId="3"/>
    <tableColumn id="5" xr3:uid="{9831D623-F63C-4977-86E6-AFBB8B5A9406}" name="Mar'21" dataDxfId="2"/>
    <tableColumn id="6" xr3:uid="{C89F4C1F-B577-490F-8B4B-D2F875B945C0}" name="Mar'22"/>
    <tableColumn id="7" xr3:uid="{0A1B7CFB-B49A-4E1F-A059-A3CDD08A1438}" name="Mar'23"/>
    <tableColumn id="8" xr3:uid="{85D028BF-6A09-44CE-BC1B-91A880C3EF1D}" name="Mar'24" dataDxfId="1"/>
    <tableColumn id="9" xr3:uid="{14819BD8-8852-4915-870A-8B93A31C3B5B}" name="Mar'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tijorifinance.com/company/adani-gas-ltd/financi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3CA8-11FB-415D-9F8B-940945A9DFAA}">
  <dimension ref="B2:D15"/>
  <sheetViews>
    <sheetView showGridLines="0" zoomScale="85" zoomScaleNormal="85" workbookViewId="0">
      <selection activeCell="D22" sqref="D22"/>
    </sheetView>
  </sheetViews>
  <sheetFormatPr defaultRowHeight="14.4" x14ac:dyDescent="0.3"/>
  <cols>
    <col min="1" max="1" width="8.88671875" style="80"/>
    <col min="2" max="2" width="27.33203125" style="80" bestFit="1" customWidth="1"/>
    <col min="3" max="3" width="40.5546875" style="80" bestFit="1" customWidth="1"/>
    <col min="4" max="4" width="17.33203125" style="80" bestFit="1" customWidth="1"/>
    <col min="5" max="16384" width="8.88671875" style="80"/>
  </cols>
  <sheetData>
    <row r="2" spans="2:4" ht="21" x14ac:dyDescent="0.4">
      <c r="B2" s="82" t="s">
        <v>3</v>
      </c>
      <c r="C2" s="83" t="s">
        <v>4</v>
      </c>
      <c r="D2" s="84"/>
    </row>
    <row r="3" spans="2:4" ht="21" x14ac:dyDescent="0.4">
      <c r="B3" s="85" t="s">
        <v>5</v>
      </c>
      <c r="C3" s="86" t="s">
        <v>167</v>
      </c>
      <c r="D3" s="87"/>
    </row>
    <row r="4" spans="2:4" ht="21" x14ac:dyDescent="0.4">
      <c r="B4" s="88" t="s">
        <v>166</v>
      </c>
      <c r="C4" s="89" t="s">
        <v>168</v>
      </c>
      <c r="D4" s="87"/>
    </row>
    <row r="5" spans="2:4" ht="21" x14ac:dyDescent="0.4">
      <c r="B5" s="90"/>
      <c r="C5" s="91"/>
      <c r="D5" s="92"/>
    </row>
    <row r="7" spans="2:4" ht="21" x14ac:dyDescent="0.3">
      <c r="B7" s="110" t="s">
        <v>0</v>
      </c>
      <c r="C7" s="110" t="s">
        <v>1</v>
      </c>
      <c r="D7" s="81" t="s">
        <v>36</v>
      </c>
    </row>
    <row r="8" spans="2:4" ht="21" x14ac:dyDescent="0.3">
      <c r="B8" s="111" t="s">
        <v>2</v>
      </c>
      <c r="C8" s="111" t="s">
        <v>29</v>
      </c>
      <c r="D8" s="93"/>
    </row>
    <row r="10" spans="2:4" ht="21" x14ac:dyDescent="0.3">
      <c r="B10" s="94" t="s">
        <v>169</v>
      </c>
      <c r="C10" s="95"/>
      <c r="D10" s="95"/>
    </row>
    <row r="11" spans="2:4" ht="21" x14ac:dyDescent="0.3">
      <c r="B11" s="96" t="s">
        <v>45</v>
      </c>
      <c r="D11" s="97"/>
    </row>
    <row r="12" spans="2:4" ht="21" x14ac:dyDescent="0.3">
      <c r="B12" s="96" t="s">
        <v>21</v>
      </c>
      <c r="D12" s="97"/>
    </row>
    <row r="13" spans="2:4" ht="21" x14ac:dyDescent="0.3">
      <c r="B13" s="96" t="s">
        <v>46</v>
      </c>
      <c r="D13" s="97"/>
    </row>
    <row r="14" spans="2:4" ht="21" x14ac:dyDescent="0.3">
      <c r="B14" s="96" t="s">
        <v>47</v>
      </c>
      <c r="D14" s="97"/>
    </row>
    <row r="15" spans="2:4" ht="21" x14ac:dyDescent="0.3">
      <c r="B15" s="96" t="s">
        <v>48</v>
      </c>
      <c r="D15" s="9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FC7D-BA41-482A-A286-E0A369069AEB}">
  <sheetPr>
    <tabColor theme="5" tint="-0.249977111117893"/>
  </sheetPr>
  <dimension ref="B1:J76"/>
  <sheetViews>
    <sheetView showGridLines="0" tabSelected="1" zoomScale="70" zoomScaleNormal="7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K24" sqref="K24"/>
    </sheetView>
  </sheetViews>
  <sheetFormatPr defaultColWidth="9.109375" defaultRowHeight="14.4" x14ac:dyDescent="0.3"/>
  <cols>
    <col min="1" max="1" width="9.109375" style="1"/>
    <col min="2" max="2" width="75.5546875" style="1" bestFit="1" customWidth="1"/>
    <col min="3" max="5" width="13.5546875" style="1" customWidth="1"/>
    <col min="6" max="6" width="15.33203125" style="1" customWidth="1"/>
    <col min="7" max="7" width="13.5546875" style="1" customWidth="1"/>
    <col min="8" max="8" width="12.6640625" style="1" customWidth="1"/>
    <col min="9" max="9" width="15.44140625" style="1" customWidth="1"/>
    <col min="10" max="10" width="11.77734375" style="1" customWidth="1"/>
    <col min="11" max="16384" width="9.109375" style="1"/>
  </cols>
  <sheetData>
    <row r="1" spans="2:10" ht="18" x14ac:dyDescent="0.3">
      <c r="B1" s="121" t="s">
        <v>81</v>
      </c>
      <c r="C1" s="121"/>
      <c r="D1" s="121"/>
      <c r="E1" s="121"/>
      <c r="F1" s="121"/>
      <c r="G1" s="121"/>
    </row>
    <row r="2" spans="2:10" ht="15" thickBot="1" x14ac:dyDescent="0.35">
      <c r="B2" s="100" t="s">
        <v>151</v>
      </c>
      <c r="C2" s="100" t="s">
        <v>86</v>
      </c>
      <c r="D2" s="100" t="s">
        <v>87</v>
      </c>
      <c r="E2" s="100" t="s">
        <v>88</v>
      </c>
      <c r="F2" s="100" t="s">
        <v>89</v>
      </c>
      <c r="G2" s="100" t="s">
        <v>90</v>
      </c>
      <c r="H2" s="100" t="s">
        <v>91</v>
      </c>
      <c r="I2" s="100" t="s">
        <v>92</v>
      </c>
      <c r="J2" s="100" t="s">
        <v>93</v>
      </c>
    </row>
    <row r="3" spans="2:10" ht="18" x14ac:dyDescent="0.3">
      <c r="B3" s="101" t="s">
        <v>64</v>
      </c>
      <c r="C3" s="102"/>
      <c r="D3" s="102"/>
      <c r="E3" s="102"/>
      <c r="F3" s="102"/>
      <c r="G3" s="102"/>
      <c r="H3" s="102"/>
      <c r="I3" s="102"/>
      <c r="J3" s="103"/>
    </row>
    <row r="4" spans="2:10" ht="15.6" x14ac:dyDescent="0.3">
      <c r="B4" s="11" t="s">
        <v>68</v>
      </c>
      <c r="C4" s="12">
        <f>C5/C6</f>
        <v>1.7884615384615385</v>
      </c>
      <c r="D4" s="12">
        <f t="shared" ref="D4:J4" si="0">D5/D6</f>
        <v>1.3699186991869918</v>
      </c>
      <c r="E4" s="12">
        <f t="shared" si="0"/>
        <v>0.9441624365482234</v>
      </c>
      <c r="F4" s="12">
        <f t="shared" si="0"/>
        <v>0.27599009900990101</v>
      </c>
      <c r="G4" s="12">
        <f t="shared" si="0"/>
        <v>0.24726775956284153</v>
      </c>
      <c r="H4" s="12">
        <f t="shared" si="0"/>
        <v>0.39124487004103969</v>
      </c>
      <c r="I4" s="12">
        <f t="shared" si="0"/>
        <v>0.56985091109884045</v>
      </c>
      <c r="J4" s="61">
        <f t="shared" si="0"/>
        <v>0.72886866059817945</v>
      </c>
    </row>
    <row r="5" spans="2:10" x14ac:dyDescent="0.3">
      <c r="B5" s="9" t="s">
        <v>50</v>
      </c>
      <c r="C5" s="10">
        <f>ATFL_BS_Consolidated!D39</f>
        <v>651</v>
      </c>
      <c r="D5" s="10">
        <f>ATFL_BS_Consolidated!E39</f>
        <v>674</v>
      </c>
      <c r="E5" s="10">
        <f>ATFL_BS_Consolidated!F39</f>
        <v>558</v>
      </c>
      <c r="F5" s="10">
        <f>ATFL_BS_Consolidated!G39</f>
        <v>223</v>
      </c>
      <c r="G5" s="10">
        <f>ATFL_BS_Consolidated!H39</f>
        <v>362</v>
      </c>
      <c r="H5" s="10">
        <f>ATFL_BS_Consolidated!I39</f>
        <v>858</v>
      </c>
      <c r="I5" s="10">
        <f>ATFL_BS_Consolidated!J39</f>
        <v>1032</v>
      </c>
      <c r="J5" s="62">
        <f>ATFL_BS_Consolidated!K39</f>
        <v>1121</v>
      </c>
    </row>
    <row r="6" spans="2:10" x14ac:dyDescent="0.3">
      <c r="B6" s="9" t="s">
        <v>51</v>
      </c>
      <c r="C6" s="10">
        <f>ATFL_BS_Consolidated!D75</f>
        <v>364</v>
      </c>
      <c r="D6" s="10">
        <f>ATFL_BS_Consolidated!E75</f>
        <v>492</v>
      </c>
      <c r="E6" s="10">
        <f>ATFL_BS_Consolidated!F75</f>
        <v>591</v>
      </c>
      <c r="F6" s="10">
        <f>ATFL_BS_Consolidated!G75</f>
        <v>808</v>
      </c>
      <c r="G6" s="10">
        <f>ATFL_BS_Consolidated!H75</f>
        <v>1464</v>
      </c>
      <c r="H6" s="10">
        <f>ATFL_BS_Consolidated!I75</f>
        <v>2193</v>
      </c>
      <c r="I6" s="10">
        <f>ATFL_BS_Consolidated!J75</f>
        <v>1811</v>
      </c>
      <c r="J6" s="62">
        <f>ATFL_BS_Consolidated!K75</f>
        <v>1538</v>
      </c>
    </row>
    <row r="7" spans="2:10" ht="15.6" x14ac:dyDescent="0.3">
      <c r="B7" s="11" t="s">
        <v>69</v>
      </c>
      <c r="C7" s="12">
        <f>C8/C6</f>
        <v>1.6726373626373627</v>
      </c>
      <c r="D7" s="12">
        <f t="shared" ref="D7:J7" si="1">D8/D6</f>
        <v>1.2805691056910569</v>
      </c>
      <c r="E7" s="12">
        <f t="shared" si="1"/>
        <v>0.87428087986463632</v>
      </c>
      <c r="F7" s="12">
        <f t="shared" si="1"/>
        <v>0.21162128712871289</v>
      </c>
      <c r="G7" s="12">
        <f t="shared" si="1"/>
        <v>0.19482240437158471</v>
      </c>
      <c r="H7" s="12">
        <f t="shared" si="1"/>
        <v>0.3497674418604651</v>
      </c>
      <c r="I7" s="12">
        <f t="shared" si="1"/>
        <v>0.51509110988404194</v>
      </c>
      <c r="J7" s="61">
        <f t="shared" si="1"/>
        <v>0.65344603381014299</v>
      </c>
    </row>
    <row r="8" spans="2:10" x14ac:dyDescent="0.3">
      <c r="B8" s="9" t="s">
        <v>78</v>
      </c>
      <c r="C8" s="10">
        <f>ATFL_BS_Consolidated!D39-ATFL_BS_Consolidated!D41</f>
        <v>608.84</v>
      </c>
      <c r="D8" s="10">
        <f>ATFL_BS_Consolidated!E39-ATFL_BS_Consolidated!E41</f>
        <v>630.04</v>
      </c>
      <c r="E8" s="10">
        <f>ATFL_BS_Consolidated!F39-ATFL_BS_Consolidated!F41</f>
        <v>516.70000000000005</v>
      </c>
      <c r="F8" s="10">
        <f>ATFL_BS_Consolidated!G39-ATFL_BS_Consolidated!G41</f>
        <v>170.99</v>
      </c>
      <c r="G8" s="10">
        <f>ATFL_BS_Consolidated!H39-ATFL_BS_Consolidated!H41</f>
        <v>285.22000000000003</v>
      </c>
      <c r="H8" s="10">
        <f>ATFL_BS_Consolidated!I39-ATFL_BS_Consolidated!I41</f>
        <v>767.04</v>
      </c>
      <c r="I8" s="10">
        <f>ATFL_BS_Consolidated!J39-ATFL_BS_Consolidated!J41</f>
        <v>932.83</v>
      </c>
      <c r="J8" s="62">
        <f>ATFL_BS_Consolidated!K39-ATFL_BS_Consolidated!K41</f>
        <v>1005</v>
      </c>
    </row>
    <row r="9" spans="2:10" ht="15.6" x14ac:dyDescent="0.3">
      <c r="B9" s="11" t="s">
        <v>70</v>
      </c>
      <c r="C9" s="12">
        <f>C10/C6</f>
        <v>0.24651098901098903</v>
      </c>
      <c r="D9" s="12">
        <f t="shared" ref="D9:J9" si="2">D10/D6</f>
        <v>0.32520325203252032</v>
      </c>
      <c r="E9" s="12">
        <f t="shared" si="2"/>
        <v>0.15138747884940779</v>
      </c>
      <c r="F9" s="12">
        <f t="shared" si="2"/>
        <v>1.3452970297029703E-2</v>
      </c>
      <c r="G9" s="12">
        <f t="shared" si="2"/>
        <v>2.3442622950819673E-2</v>
      </c>
      <c r="H9" s="12">
        <f t="shared" si="2"/>
        <v>0.16963064295485636</v>
      </c>
      <c r="I9" s="12">
        <f t="shared" si="2"/>
        <v>0.25179458862506904</v>
      </c>
      <c r="J9" s="61">
        <f t="shared" si="2"/>
        <v>0.32316644993498045</v>
      </c>
    </row>
    <row r="10" spans="2:10" ht="15" thickBot="1" x14ac:dyDescent="0.35">
      <c r="B10" s="13" t="s">
        <v>49</v>
      </c>
      <c r="C10" s="14">
        <f>ATFL_BS_Consolidated!D47+ATFL_BS_Consolidated!D45</f>
        <v>89.73</v>
      </c>
      <c r="D10" s="14">
        <f>ATFL_BS_Consolidated!E47+ATFL_BS_Consolidated!E45</f>
        <v>160</v>
      </c>
      <c r="E10" s="14">
        <f>ATFL_BS_Consolidated!F47+ATFL_BS_Consolidated!F45</f>
        <v>89.47</v>
      </c>
      <c r="F10" s="14">
        <f>ATFL_BS_Consolidated!G47+ATFL_BS_Consolidated!G45</f>
        <v>10.87</v>
      </c>
      <c r="G10" s="14">
        <f>ATFL_BS_Consolidated!H47+ATFL_BS_Consolidated!H45</f>
        <v>34.32</v>
      </c>
      <c r="H10" s="14">
        <f>ATFL_BS_Consolidated!I47+ATFL_BS_Consolidated!I45</f>
        <v>372</v>
      </c>
      <c r="I10" s="14">
        <f>ATFL_BS_Consolidated!J47+ATFL_BS_Consolidated!J45</f>
        <v>456</v>
      </c>
      <c r="J10" s="14">
        <f>ATFL_BS_Consolidated!K47+ATFL_BS_Consolidated!K45</f>
        <v>497.03</v>
      </c>
    </row>
    <row r="11" spans="2:10" ht="15" thickBot="1" x14ac:dyDescent="0.35">
      <c r="C11" s="49"/>
      <c r="D11" s="49"/>
      <c r="E11" s="49"/>
      <c r="F11" s="49"/>
      <c r="G11" s="49"/>
    </row>
    <row r="12" spans="2:10" ht="18" x14ac:dyDescent="0.3">
      <c r="B12" s="101" t="s">
        <v>30</v>
      </c>
      <c r="C12" s="60" t="str">
        <f>C2</f>
        <v>Mar'18</v>
      </c>
      <c r="D12" s="60" t="str">
        <f t="shared" ref="D12:J12" si="3">D2</f>
        <v>Mar'19</v>
      </c>
      <c r="E12" s="60" t="str">
        <f t="shared" si="3"/>
        <v>Mar'20</v>
      </c>
      <c r="F12" s="60" t="str">
        <f t="shared" si="3"/>
        <v>Mar'21</v>
      </c>
      <c r="G12" s="60" t="str">
        <f t="shared" si="3"/>
        <v>Mar'22</v>
      </c>
      <c r="H12" s="60" t="str">
        <f t="shared" si="3"/>
        <v>Mar'23</v>
      </c>
      <c r="I12" s="60" t="str">
        <f t="shared" si="3"/>
        <v>Mar'24</v>
      </c>
      <c r="J12" s="60" t="str">
        <f t="shared" si="3"/>
        <v>Mar'25</v>
      </c>
    </row>
    <row r="13" spans="2:10" ht="15.6" x14ac:dyDescent="0.3">
      <c r="B13" s="63" t="s">
        <v>74</v>
      </c>
      <c r="C13" s="51">
        <f t="shared" ref="C13:J13" si="4">C14*100/C16</f>
        <v>29.320960698689966</v>
      </c>
      <c r="D13" s="51">
        <f t="shared" si="4"/>
        <v>29.972076788830716</v>
      </c>
      <c r="E13" s="51">
        <f t="shared" si="4"/>
        <v>36.566933333333324</v>
      </c>
      <c r="F13" s="51">
        <f t="shared" si="4"/>
        <v>45.501768867924525</v>
      </c>
      <c r="G13" s="51">
        <f t="shared" si="4"/>
        <v>28.436471362738647</v>
      </c>
      <c r="H13" s="51">
        <f t="shared" si="4"/>
        <v>21.995888533576977</v>
      </c>
      <c r="I13" s="51">
        <f t="shared" si="4"/>
        <v>27.806927374301679</v>
      </c>
      <c r="J13" s="64">
        <f t="shared" si="4"/>
        <v>25.936400000000003</v>
      </c>
    </row>
    <row r="14" spans="2:10" x14ac:dyDescent="0.3">
      <c r="B14" s="15" t="s">
        <v>73</v>
      </c>
      <c r="C14" s="16">
        <f t="shared" ref="C14:J14" si="5">C16-C15</f>
        <v>402.87000000000012</v>
      </c>
      <c r="D14" s="16">
        <f t="shared" si="5"/>
        <v>515.22</v>
      </c>
      <c r="E14" s="16">
        <f t="shared" si="5"/>
        <v>685.62999999999988</v>
      </c>
      <c r="F14" s="16">
        <f t="shared" si="5"/>
        <v>771.71</v>
      </c>
      <c r="G14" s="16">
        <f t="shared" si="5"/>
        <v>863.90000000000009</v>
      </c>
      <c r="H14" s="16">
        <f t="shared" si="5"/>
        <v>962.98</v>
      </c>
      <c r="I14" s="16">
        <f t="shared" si="5"/>
        <v>1244.3600000000001</v>
      </c>
      <c r="J14" s="17">
        <f t="shared" si="5"/>
        <v>1296.8200000000002</v>
      </c>
    </row>
    <row r="15" spans="2:10" x14ac:dyDescent="0.3">
      <c r="B15" s="15" t="s">
        <v>71</v>
      </c>
      <c r="C15" s="16">
        <f>'ATGL_P&amp;L_Consolidated'!D27+'ATGL_P&amp;L_Consolidated'!D29+'ATGL_P&amp;L_Consolidated'!D33+'ATGL_P&amp;L_Consolidated'!D35+'ATGL_P&amp;L_Consolidated'!D39</f>
        <v>971.12999999999988</v>
      </c>
      <c r="D15" s="16">
        <f>'ATGL_P&amp;L_Consolidated'!E27+'ATGL_P&amp;L_Consolidated'!E29+'ATGL_P&amp;L_Consolidated'!E33+'ATGL_P&amp;L_Consolidated'!E35+'ATGL_P&amp;L_Consolidated'!E39</f>
        <v>1203.78</v>
      </c>
      <c r="E15" s="16">
        <f>'ATGL_P&amp;L_Consolidated'!F27+'ATGL_P&amp;L_Consolidated'!F29+'ATGL_P&amp;L_Consolidated'!F33+'ATGL_P&amp;L_Consolidated'!F35+'ATGL_P&amp;L_Consolidated'!F39</f>
        <v>1189.3700000000001</v>
      </c>
      <c r="F15" s="16">
        <f>'ATGL_P&amp;L_Consolidated'!G27+'ATGL_P&amp;L_Consolidated'!G29+'ATGL_P&amp;L_Consolidated'!G33+'ATGL_P&amp;L_Consolidated'!G35+'ATGL_P&amp;L_Consolidated'!G39</f>
        <v>924.29</v>
      </c>
      <c r="G15" s="16">
        <f>'ATGL_P&amp;L_Consolidated'!H27+'ATGL_P&amp;L_Consolidated'!H29+'ATGL_P&amp;L_Consolidated'!H33+'ATGL_P&amp;L_Consolidated'!H35+'ATGL_P&amp;L_Consolidated'!H39</f>
        <v>2174.1</v>
      </c>
      <c r="H15" s="16">
        <f>'ATGL_P&amp;L_Consolidated'!I27+'ATGL_P&amp;L_Consolidated'!I29+'ATGL_P&amp;L_Consolidated'!I33+'ATGL_P&amp;L_Consolidated'!I35+'ATGL_P&amp;L_Consolidated'!I39</f>
        <v>3415.02</v>
      </c>
      <c r="I15" s="16">
        <f>'ATGL_P&amp;L_Consolidated'!J27+'ATGL_P&amp;L_Consolidated'!J29+'ATGL_P&amp;L_Consolidated'!J33+'ATGL_P&amp;L_Consolidated'!J35+'ATGL_P&amp;L_Consolidated'!J39</f>
        <v>3230.64</v>
      </c>
      <c r="J15" s="17">
        <f>'ATGL_P&amp;L_Consolidated'!K27+'ATGL_P&amp;L_Consolidated'!K29+'ATGL_P&amp;L_Consolidated'!K33+'ATGL_P&amp;L_Consolidated'!K35+'ATGL_P&amp;L_Consolidated'!K39</f>
        <v>3703.18</v>
      </c>
    </row>
    <row r="16" spans="2:10" x14ac:dyDescent="0.3">
      <c r="B16" s="15" t="s">
        <v>72</v>
      </c>
      <c r="C16" s="48">
        <f>'ATGL_P&amp;L_Consolidated'!D23</f>
        <v>1374</v>
      </c>
      <c r="D16" s="48">
        <f>'ATGL_P&amp;L_Consolidated'!E23</f>
        <v>1719</v>
      </c>
      <c r="E16" s="48">
        <f>'ATGL_P&amp;L_Consolidated'!F23</f>
        <v>1875</v>
      </c>
      <c r="F16" s="48">
        <f>'ATGL_P&amp;L_Consolidated'!G23</f>
        <v>1696</v>
      </c>
      <c r="G16" s="48">
        <f>'ATGL_P&amp;L_Consolidated'!H23</f>
        <v>3038</v>
      </c>
      <c r="H16" s="48">
        <f>'ATGL_P&amp;L_Consolidated'!I23</f>
        <v>4378</v>
      </c>
      <c r="I16" s="48">
        <f>'ATGL_P&amp;L_Consolidated'!J23</f>
        <v>4475</v>
      </c>
      <c r="J16" s="65">
        <f>'ATGL_P&amp;L_Consolidated'!K23</f>
        <v>5000</v>
      </c>
    </row>
    <row r="17" spans="2:10" ht="15.6" x14ac:dyDescent="0.3">
      <c r="B17" s="63" t="s">
        <v>31</v>
      </c>
      <c r="C17" s="51">
        <f>C18/C16*100</f>
        <v>22.124454148471617</v>
      </c>
      <c r="D17" s="51">
        <f t="shared" ref="D17:J17" si="6">D18/D16*100</f>
        <v>22.553228621291453</v>
      </c>
      <c r="E17" s="51">
        <f t="shared" si="6"/>
        <v>29.02933333333333</v>
      </c>
      <c r="F17" s="51">
        <f t="shared" si="6"/>
        <v>37.823113207547173</v>
      </c>
      <c r="G17" s="51">
        <f t="shared" si="6"/>
        <v>22.721198156682025</v>
      </c>
      <c r="H17" s="51">
        <f t="shared" si="6"/>
        <v>17.291000456829604</v>
      </c>
      <c r="I17" s="51">
        <f t="shared" si="6"/>
        <v>21.139664804469273</v>
      </c>
      <c r="J17" s="64">
        <f t="shared" si="6"/>
        <v>18.579999999999998</v>
      </c>
    </row>
    <row r="18" spans="2:10" ht="15.75" customHeight="1" x14ac:dyDescent="0.3">
      <c r="B18" s="66" t="s">
        <v>75</v>
      </c>
      <c r="C18" s="22">
        <f>C16-('ATGL_P&amp;L_Consolidated'!D25+'ATGL_P&amp;L_Consolidated'!D55)</f>
        <v>303.99</v>
      </c>
      <c r="D18" s="22">
        <f>D16-('ATGL_P&amp;L_Consolidated'!E25+'ATGL_P&amp;L_Consolidated'!E55)</f>
        <v>387.69000000000005</v>
      </c>
      <c r="E18" s="22">
        <f>E16-('ATGL_P&amp;L_Consolidated'!F25+'ATGL_P&amp;L_Consolidated'!F55)</f>
        <v>544.29999999999995</v>
      </c>
      <c r="F18" s="22">
        <f>F16-('ATGL_P&amp;L_Consolidated'!G25+'ATGL_P&amp;L_Consolidated'!G55)</f>
        <v>641.48</v>
      </c>
      <c r="G18" s="22">
        <f>G16-('ATGL_P&amp;L_Consolidated'!H25+'ATGL_P&amp;L_Consolidated'!H55)</f>
        <v>690.27</v>
      </c>
      <c r="H18" s="22">
        <f>H16-('ATGL_P&amp;L_Consolidated'!I25+'ATGL_P&amp;L_Consolidated'!I55)</f>
        <v>757</v>
      </c>
      <c r="I18" s="22">
        <f>I16-('ATGL_P&amp;L_Consolidated'!J25+'ATGL_P&amp;L_Consolidated'!J55)</f>
        <v>946</v>
      </c>
      <c r="J18" s="23">
        <f>J16-('ATGL_P&amp;L_Consolidated'!K25+'ATGL_P&amp;L_Consolidated'!K55)</f>
        <v>929</v>
      </c>
    </row>
    <row r="19" spans="2:10" ht="15.6" x14ac:dyDescent="0.3">
      <c r="B19" s="63" t="s">
        <v>32</v>
      </c>
      <c r="C19" s="51">
        <f>C20/C21*100</f>
        <v>11.790393013100436</v>
      </c>
      <c r="D19" s="51">
        <f t="shared" ref="D19:J19" si="7">D20/D21*100</f>
        <v>13.321698662012798</v>
      </c>
      <c r="E19" s="51">
        <f t="shared" si="7"/>
        <v>23.253333333333334</v>
      </c>
      <c r="F19" s="51">
        <f t="shared" si="7"/>
        <v>27.299528301886795</v>
      </c>
      <c r="G19" s="51">
        <f t="shared" si="7"/>
        <v>16.754443712969056</v>
      </c>
      <c r="H19" s="51">
        <f t="shared" si="7"/>
        <v>12.471448149840111</v>
      </c>
      <c r="I19" s="51">
        <f t="shared" si="7"/>
        <v>14.927374301675977</v>
      </c>
      <c r="J19" s="64">
        <f t="shared" si="7"/>
        <v>13.08</v>
      </c>
    </row>
    <row r="20" spans="2:10" x14ac:dyDescent="0.3">
      <c r="B20" s="19" t="s">
        <v>33</v>
      </c>
      <c r="C20" s="16">
        <f>'ATGL_P&amp;L_Consolidated'!D71</f>
        <v>162</v>
      </c>
      <c r="D20" s="16">
        <f>'ATGL_P&amp;L_Consolidated'!E71</f>
        <v>229</v>
      </c>
      <c r="E20" s="16">
        <f>'ATGL_P&amp;L_Consolidated'!F71</f>
        <v>436</v>
      </c>
      <c r="F20" s="16">
        <f>'ATGL_P&amp;L_Consolidated'!G71</f>
        <v>463</v>
      </c>
      <c r="G20" s="16">
        <f>'ATGL_P&amp;L_Consolidated'!H71</f>
        <v>509</v>
      </c>
      <c r="H20" s="16">
        <f>'ATGL_P&amp;L_Consolidated'!I71</f>
        <v>546</v>
      </c>
      <c r="I20" s="16">
        <f>'ATGL_P&amp;L_Consolidated'!J71</f>
        <v>668</v>
      </c>
      <c r="J20" s="17">
        <f>'ATGL_P&amp;L_Consolidated'!K71</f>
        <v>654</v>
      </c>
    </row>
    <row r="21" spans="2:10" x14ac:dyDescent="0.3">
      <c r="B21" s="19" t="s">
        <v>9</v>
      </c>
      <c r="C21" s="48">
        <f>'ATGL_P&amp;L_Consolidated'!D23</f>
        <v>1374</v>
      </c>
      <c r="D21" s="48">
        <f>'ATGL_P&amp;L_Consolidated'!E23</f>
        <v>1719</v>
      </c>
      <c r="E21" s="48">
        <f>'ATGL_P&amp;L_Consolidated'!F23</f>
        <v>1875</v>
      </c>
      <c r="F21" s="48">
        <f>'ATGL_P&amp;L_Consolidated'!G23</f>
        <v>1696</v>
      </c>
      <c r="G21" s="48">
        <f>'ATGL_P&amp;L_Consolidated'!H23</f>
        <v>3038</v>
      </c>
      <c r="H21" s="48">
        <f>'ATGL_P&amp;L_Consolidated'!I23</f>
        <v>4378</v>
      </c>
      <c r="I21" s="48">
        <f>'ATGL_P&amp;L_Consolidated'!J23</f>
        <v>4475</v>
      </c>
      <c r="J21" s="65">
        <f>'ATGL_P&amp;L_Consolidated'!K23</f>
        <v>5000</v>
      </c>
    </row>
    <row r="22" spans="2:10" ht="15.6" x14ac:dyDescent="0.3">
      <c r="B22" s="63" t="s">
        <v>10</v>
      </c>
      <c r="C22" s="51">
        <f>C23/C26</f>
        <v>0.63035019455252916</v>
      </c>
      <c r="D22" s="51">
        <f t="shared" ref="D22:J22" si="8">D23/D26</f>
        <v>2.081818181818182</v>
      </c>
      <c r="E22" s="51">
        <f t="shared" si="8"/>
        <v>3.9636363636363638</v>
      </c>
      <c r="F22" s="51">
        <f t="shared" si="8"/>
        <v>4.209090909090909</v>
      </c>
      <c r="G22" s="51">
        <f t="shared" si="8"/>
        <v>4.627272727272727</v>
      </c>
      <c r="H22" s="51">
        <f t="shared" si="8"/>
        <v>4.9636363636363638</v>
      </c>
      <c r="I22" s="51">
        <f t="shared" si="8"/>
        <v>6.0727272727272723</v>
      </c>
      <c r="J22" s="64">
        <f t="shared" si="8"/>
        <v>5.9454545454545453</v>
      </c>
    </row>
    <row r="23" spans="2:10" x14ac:dyDescent="0.3">
      <c r="B23" s="19" t="s">
        <v>33</v>
      </c>
      <c r="C23" s="16">
        <f>C20</f>
        <v>162</v>
      </c>
      <c r="D23" s="16">
        <f t="shared" ref="D23:J23" si="9">D20</f>
        <v>229</v>
      </c>
      <c r="E23" s="16">
        <f t="shared" si="9"/>
        <v>436</v>
      </c>
      <c r="F23" s="16">
        <f t="shared" si="9"/>
        <v>463</v>
      </c>
      <c r="G23" s="16">
        <f t="shared" si="9"/>
        <v>509</v>
      </c>
      <c r="H23" s="16">
        <f t="shared" si="9"/>
        <v>546</v>
      </c>
      <c r="I23" s="16">
        <f t="shared" si="9"/>
        <v>668</v>
      </c>
      <c r="J23" s="17">
        <f t="shared" si="9"/>
        <v>654</v>
      </c>
    </row>
    <row r="24" spans="2:10" x14ac:dyDescent="0.3">
      <c r="B24" s="19" t="s">
        <v>11</v>
      </c>
      <c r="C24" s="16">
        <f>ATFL_BS_Consolidated!D57</f>
        <v>257</v>
      </c>
      <c r="D24" s="16">
        <f>ATFL_BS_Consolidated!E57</f>
        <v>110</v>
      </c>
      <c r="E24" s="16">
        <f>ATFL_BS_Consolidated!F57</f>
        <v>110</v>
      </c>
      <c r="F24" s="16">
        <f>ATFL_BS_Consolidated!G57</f>
        <v>110</v>
      </c>
      <c r="G24" s="16">
        <f>ATFL_BS_Consolidated!H57</f>
        <v>110</v>
      </c>
      <c r="H24" s="16">
        <f>ATFL_BS_Consolidated!I57</f>
        <v>110</v>
      </c>
      <c r="I24" s="16">
        <f>ATFL_BS_Consolidated!J57</f>
        <v>110</v>
      </c>
      <c r="J24" s="17">
        <f>ATFL_BS_Consolidated!K57</f>
        <v>110</v>
      </c>
    </row>
    <row r="25" spans="2:10" x14ac:dyDescent="0.3">
      <c r="B25" s="19" t="s">
        <v>12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7">
        <v>1</v>
      </c>
    </row>
    <row r="26" spans="2:10" x14ac:dyDescent="0.3">
      <c r="B26" s="15" t="s">
        <v>76</v>
      </c>
      <c r="C26" s="16">
        <f>C24/C25</f>
        <v>257</v>
      </c>
      <c r="D26" s="16">
        <f t="shared" ref="D26:J26" si="10">D24/D25</f>
        <v>110</v>
      </c>
      <c r="E26" s="16">
        <f t="shared" si="10"/>
        <v>110</v>
      </c>
      <c r="F26" s="16">
        <f t="shared" si="10"/>
        <v>110</v>
      </c>
      <c r="G26" s="16">
        <f t="shared" si="10"/>
        <v>110</v>
      </c>
      <c r="H26" s="16">
        <f t="shared" si="10"/>
        <v>110</v>
      </c>
      <c r="I26" s="16">
        <f t="shared" si="10"/>
        <v>110</v>
      </c>
      <c r="J26" s="17">
        <f t="shared" si="10"/>
        <v>110</v>
      </c>
    </row>
    <row r="27" spans="2:10" ht="15.6" x14ac:dyDescent="0.3">
      <c r="B27" s="63" t="s">
        <v>34</v>
      </c>
      <c r="C27" s="51">
        <f>C28/C29*100</f>
        <v>18.642117376294593</v>
      </c>
      <c r="D27" s="51">
        <f t="shared" ref="D27:J27" si="11">D28/D29*100</f>
        <v>20.780399274047188</v>
      </c>
      <c r="E27" s="51">
        <f t="shared" si="11"/>
        <v>29.63970088375255</v>
      </c>
      <c r="F27" s="51">
        <f t="shared" si="11"/>
        <v>23.940020682523269</v>
      </c>
      <c r="G27" s="51">
        <f t="shared" si="11"/>
        <v>21.067880794701988</v>
      </c>
      <c r="H27" s="51">
        <f t="shared" si="11"/>
        <v>18.565113906834409</v>
      </c>
      <c r="I27" s="51">
        <f t="shared" si="11"/>
        <v>18.659217877094971</v>
      </c>
      <c r="J27" s="64">
        <f t="shared" si="11"/>
        <v>15.545519372474448</v>
      </c>
    </row>
    <row r="28" spans="2:10" x14ac:dyDescent="0.3">
      <c r="B28" s="19" t="s">
        <v>33</v>
      </c>
      <c r="C28" s="16">
        <f>C20</f>
        <v>162</v>
      </c>
      <c r="D28" s="16">
        <f t="shared" ref="D28:J28" si="12">D20</f>
        <v>229</v>
      </c>
      <c r="E28" s="16">
        <f t="shared" si="12"/>
        <v>436</v>
      </c>
      <c r="F28" s="16">
        <f t="shared" si="12"/>
        <v>463</v>
      </c>
      <c r="G28" s="16">
        <f t="shared" si="12"/>
        <v>509</v>
      </c>
      <c r="H28" s="16">
        <f t="shared" si="12"/>
        <v>546</v>
      </c>
      <c r="I28" s="16">
        <f t="shared" si="12"/>
        <v>668</v>
      </c>
      <c r="J28" s="17">
        <f t="shared" si="12"/>
        <v>654</v>
      </c>
    </row>
    <row r="29" spans="2:10" x14ac:dyDescent="0.3">
      <c r="B29" s="15" t="s">
        <v>77</v>
      </c>
      <c r="C29" s="22">
        <f>ATFL_BS_Consolidated!D55</f>
        <v>869</v>
      </c>
      <c r="D29" s="22">
        <f>ATFL_BS_Consolidated!E55</f>
        <v>1102</v>
      </c>
      <c r="E29" s="22">
        <f>ATFL_BS_Consolidated!F55</f>
        <v>1471</v>
      </c>
      <c r="F29" s="22">
        <f>ATFL_BS_Consolidated!G55</f>
        <v>1934</v>
      </c>
      <c r="G29" s="22">
        <f>ATFL_BS_Consolidated!H55</f>
        <v>2416</v>
      </c>
      <c r="H29" s="22">
        <f>ATFL_BS_Consolidated!I55</f>
        <v>2941</v>
      </c>
      <c r="I29" s="22">
        <f>ATFL_BS_Consolidated!J55</f>
        <v>3580</v>
      </c>
      <c r="J29" s="23">
        <f>ATFL_BS_Consolidated!K55</f>
        <v>4207</v>
      </c>
    </row>
    <row r="30" spans="2:10" ht="15.6" x14ac:dyDescent="0.3">
      <c r="B30" s="63" t="s">
        <v>35</v>
      </c>
      <c r="C30" s="51">
        <f>C31/C32*100</f>
        <v>12.468826907301068</v>
      </c>
      <c r="D30" s="51">
        <f t="shared" ref="D30:J30" si="13">D31/D32*100</f>
        <v>24.915809768637537</v>
      </c>
      <c r="E30" s="51">
        <f t="shared" si="13"/>
        <v>28.875331564986734</v>
      </c>
      <c r="F30" s="51">
        <f t="shared" si="13"/>
        <v>26.772954924874792</v>
      </c>
      <c r="G30" s="51">
        <f t="shared" si="13"/>
        <v>23.391053880040662</v>
      </c>
      <c r="H30" s="51">
        <f t="shared" si="13"/>
        <v>21.929316338354575</v>
      </c>
      <c r="I30" s="51">
        <f t="shared" si="13"/>
        <v>19.786655511399289</v>
      </c>
      <c r="J30" s="64">
        <f t="shared" si="13"/>
        <v>15.164871041462618</v>
      </c>
    </row>
    <row r="31" spans="2:10" x14ac:dyDescent="0.3">
      <c r="B31" s="19" t="s">
        <v>13</v>
      </c>
      <c r="C31" s="16">
        <f>C18</f>
        <v>303.99</v>
      </c>
      <c r="D31" s="16">
        <f t="shared" ref="D31:J31" si="14">D18</f>
        <v>387.69000000000005</v>
      </c>
      <c r="E31" s="16">
        <f t="shared" si="14"/>
        <v>544.29999999999995</v>
      </c>
      <c r="F31" s="16">
        <f t="shared" si="14"/>
        <v>641.48</v>
      </c>
      <c r="G31" s="16">
        <f t="shared" si="14"/>
        <v>690.27</v>
      </c>
      <c r="H31" s="16">
        <f t="shared" si="14"/>
        <v>757</v>
      </c>
      <c r="I31" s="16">
        <f t="shared" si="14"/>
        <v>946</v>
      </c>
      <c r="J31" s="17">
        <f t="shared" si="14"/>
        <v>929</v>
      </c>
    </row>
    <row r="32" spans="2:10" ht="15" thickBot="1" x14ac:dyDescent="0.35">
      <c r="B32" s="18" t="s">
        <v>14</v>
      </c>
      <c r="C32" s="20">
        <f>ATFL_BS_Consolidated!D55+ATFL_BS_Consolidated!D63</f>
        <v>2438</v>
      </c>
      <c r="D32" s="20">
        <f>ATFL_BS_Consolidated!E55+ATFL_BS_Consolidated!E63</f>
        <v>1556</v>
      </c>
      <c r="E32" s="20">
        <f>ATFL_BS_Consolidated!F55+ATFL_BS_Consolidated!F63</f>
        <v>1885</v>
      </c>
      <c r="F32" s="20">
        <f>ATFL_BS_Consolidated!G55+ATFL_BS_Consolidated!G63</f>
        <v>2396</v>
      </c>
      <c r="G32" s="20">
        <f>ATFL_BS_Consolidated!H55+ATFL_BS_Consolidated!H63</f>
        <v>2951</v>
      </c>
      <c r="H32" s="20">
        <f>ATFL_BS_Consolidated!I55+ATFL_BS_Consolidated!I63</f>
        <v>3452</v>
      </c>
      <c r="I32" s="20">
        <f>ATFL_BS_Consolidated!J55+ATFL_BS_Consolidated!J63</f>
        <v>4781</v>
      </c>
      <c r="J32" s="21">
        <f>ATFL_BS_Consolidated!K55+ATFL_BS_Consolidated!K63</f>
        <v>6126</v>
      </c>
    </row>
    <row r="33" spans="2:10" x14ac:dyDescent="0.3">
      <c r="B33" s="52" t="s">
        <v>15</v>
      </c>
      <c r="C33" s="16"/>
      <c r="D33" s="16"/>
      <c r="E33" s="16"/>
      <c r="F33" s="16"/>
      <c r="G33" s="16"/>
    </row>
    <row r="34" spans="2:10" ht="16.2" thickBot="1" x14ac:dyDescent="0.35">
      <c r="B34" s="50"/>
      <c r="C34" s="50"/>
      <c r="D34" s="50"/>
      <c r="E34" s="50"/>
      <c r="F34" s="50"/>
      <c r="G34" s="50"/>
    </row>
    <row r="35" spans="2:10" ht="18" x14ac:dyDescent="0.3">
      <c r="B35" s="59" t="s">
        <v>20</v>
      </c>
      <c r="C35" s="60" t="str">
        <f>C2</f>
        <v>Mar'18</v>
      </c>
      <c r="D35" s="60" t="str">
        <f t="shared" ref="D35:J35" si="15">D2</f>
        <v>Mar'19</v>
      </c>
      <c r="E35" s="60" t="str">
        <f t="shared" si="15"/>
        <v>Mar'20</v>
      </c>
      <c r="F35" s="60" t="str">
        <f t="shared" si="15"/>
        <v>Mar'21</v>
      </c>
      <c r="G35" s="60" t="str">
        <f t="shared" si="15"/>
        <v>Mar'22</v>
      </c>
      <c r="H35" s="60" t="str">
        <f t="shared" si="15"/>
        <v>Mar'23</v>
      </c>
      <c r="I35" s="60" t="str">
        <f t="shared" si="15"/>
        <v>Mar'24</v>
      </c>
      <c r="J35" s="60" t="str">
        <f t="shared" si="15"/>
        <v>Mar'25</v>
      </c>
    </row>
    <row r="36" spans="2:10" ht="15.6" x14ac:dyDescent="0.3">
      <c r="B36" s="67" t="s">
        <v>62</v>
      </c>
      <c r="C36" s="53">
        <f>C37/C38</f>
        <v>1.805523590333717</v>
      </c>
      <c r="D36" s="53">
        <f t="shared" ref="D36:J36" si="16">D37/D38</f>
        <v>0.41197822141560797</v>
      </c>
      <c r="E36" s="53">
        <f t="shared" si="16"/>
        <v>0.28144119646498983</v>
      </c>
      <c r="F36" s="53">
        <f t="shared" si="16"/>
        <v>0.23888314374353672</v>
      </c>
      <c r="G36" s="53">
        <f t="shared" si="16"/>
        <v>0.22144039735099338</v>
      </c>
      <c r="H36" s="53">
        <f t="shared" si="16"/>
        <v>0.17375042502550153</v>
      </c>
      <c r="I36" s="53">
        <f t="shared" si="16"/>
        <v>0.33547486033519552</v>
      </c>
      <c r="J36" s="68">
        <f t="shared" si="16"/>
        <v>0.45614452103636793</v>
      </c>
    </row>
    <row r="37" spans="2:10" x14ac:dyDescent="0.3">
      <c r="B37" s="24" t="s">
        <v>52</v>
      </c>
      <c r="C37" s="25">
        <f>ATFL_BS_Consolidated!D63</f>
        <v>1569</v>
      </c>
      <c r="D37" s="25">
        <f>ATFL_BS_Consolidated!E63</f>
        <v>454</v>
      </c>
      <c r="E37" s="25">
        <f>ATFL_BS_Consolidated!F63</f>
        <v>414</v>
      </c>
      <c r="F37" s="25">
        <f>ATFL_BS_Consolidated!G63</f>
        <v>462</v>
      </c>
      <c r="G37" s="25">
        <f>ATFL_BS_Consolidated!H63</f>
        <v>535</v>
      </c>
      <c r="H37" s="25">
        <f>ATFL_BS_Consolidated!I63</f>
        <v>511</v>
      </c>
      <c r="I37" s="25">
        <f>ATFL_BS_Consolidated!J63</f>
        <v>1201</v>
      </c>
      <c r="J37" s="26">
        <f>ATFL_BS_Consolidated!K63</f>
        <v>1919</v>
      </c>
    </row>
    <row r="38" spans="2:10" x14ac:dyDescent="0.3">
      <c r="B38" s="24" t="s">
        <v>53</v>
      </c>
      <c r="C38" s="25">
        <f>ATFL_BS_Consolidated!D55</f>
        <v>869</v>
      </c>
      <c r="D38" s="25">
        <f>ATFL_BS_Consolidated!E55</f>
        <v>1102</v>
      </c>
      <c r="E38" s="25">
        <f>ATFL_BS_Consolidated!F55</f>
        <v>1471</v>
      </c>
      <c r="F38" s="25">
        <f>ATFL_BS_Consolidated!G55</f>
        <v>1934</v>
      </c>
      <c r="G38" s="25">
        <f>ATFL_BS_Consolidated!H55</f>
        <v>2416</v>
      </c>
      <c r="H38" s="25">
        <f>ATFL_BS_Consolidated!I55</f>
        <v>2941</v>
      </c>
      <c r="I38" s="25">
        <f>ATFL_BS_Consolidated!J55</f>
        <v>3580</v>
      </c>
      <c r="J38" s="26">
        <f>ATFL_BS_Consolidated!K55</f>
        <v>4207</v>
      </c>
    </row>
    <row r="39" spans="2:10" ht="15.6" x14ac:dyDescent="0.3">
      <c r="B39" s="67" t="s">
        <v>60</v>
      </c>
      <c r="C39" s="53">
        <f>C37/(C37+C38)</f>
        <v>0.64356029532403614</v>
      </c>
      <c r="D39" s="53">
        <f t="shared" ref="D39:J39" si="17">D37/(D37+D38)</f>
        <v>0.29177377892030848</v>
      </c>
      <c r="E39" s="53">
        <f t="shared" si="17"/>
        <v>0.21962864721485412</v>
      </c>
      <c r="F39" s="53">
        <f t="shared" si="17"/>
        <v>0.19282136894824708</v>
      </c>
      <c r="G39" s="53">
        <f t="shared" si="17"/>
        <v>0.18129447644866148</v>
      </c>
      <c r="H39" s="53">
        <f t="shared" si="17"/>
        <v>0.14803012746234068</v>
      </c>
      <c r="I39" s="53">
        <f t="shared" si="17"/>
        <v>0.25120267726417067</v>
      </c>
      <c r="J39" s="68">
        <f t="shared" si="17"/>
        <v>0.31325497877897485</v>
      </c>
    </row>
    <row r="40" spans="2:10" x14ac:dyDescent="0.3">
      <c r="B40" s="24"/>
      <c r="C40" s="27"/>
      <c r="D40" s="27"/>
      <c r="E40" s="27"/>
      <c r="F40" s="27"/>
      <c r="G40" s="27"/>
      <c r="J40" s="30"/>
    </row>
    <row r="41" spans="2:10" ht="15.6" x14ac:dyDescent="0.3">
      <c r="B41" s="67" t="s">
        <v>173</v>
      </c>
      <c r="C41" s="54">
        <f>C18/C42</f>
        <v>2.4319199999999999</v>
      </c>
      <c r="D41" s="54">
        <f t="shared" ref="D41:J41" si="18">D18/D42</f>
        <v>4.3148580968280479</v>
      </c>
      <c r="E41" s="54">
        <f t="shared" si="18"/>
        <v>13.259439707673568</v>
      </c>
      <c r="F41" s="54">
        <f t="shared" si="18"/>
        <v>15.846837944664033</v>
      </c>
      <c r="G41" s="54">
        <f t="shared" si="18"/>
        <v>13.090650483595677</v>
      </c>
      <c r="H41" s="54">
        <f t="shared" si="18"/>
        <v>9.6519189085808996</v>
      </c>
      <c r="I41" s="54">
        <f t="shared" si="18"/>
        <v>8.5225225225225234</v>
      </c>
      <c r="J41" s="69">
        <f t="shared" si="18"/>
        <v>9.1980198019801982</v>
      </c>
    </row>
    <row r="42" spans="2:10" x14ac:dyDescent="0.3">
      <c r="B42" s="24" t="s">
        <v>61</v>
      </c>
      <c r="C42" s="27">
        <f>'ATGL_P&amp;L_Consolidated'!D51</f>
        <v>125</v>
      </c>
      <c r="D42" s="27">
        <f>'ATGL_P&amp;L_Consolidated'!E51</f>
        <v>89.85</v>
      </c>
      <c r="E42" s="27">
        <f>'ATGL_P&amp;L_Consolidated'!F51</f>
        <v>41.05</v>
      </c>
      <c r="F42" s="27">
        <f>'ATGL_P&amp;L_Consolidated'!G51</f>
        <v>40.479999999999997</v>
      </c>
      <c r="G42" s="27">
        <f>'ATGL_P&amp;L_Consolidated'!H51</f>
        <v>52.73</v>
      </c>
      <c r="H42" s="27">
        <f>'ATGL_P&amp;L_Consolidated'!I51</f>
        <v>78.430000000000007</v>
      </c>
      <c r="I42" s="27">
        <f>'ATGL_P&amp;L_Consolidated'!J51</f>
        <v>111</v>
      </c>
      <c r="J42" s="28">
        <f>'ATGL_P&amp;L_Consolidated'!K51</f>
        <v>101</v>
      </c>
    </row>
    <row r="43" spans="2:10" x14ac:dyDescent="0.3">
      <c r="B43" s="24"/>
      <c r="C43" s="27"/>
      <c r="D43" s="27"/>
      <c r="E43" s="27"/>
      <c r="F43" s="27"/>
      <c r="G43" s="27"/>
      <c r="J43" s="30"/>
    </row>
    <row r="44" spans="2:10" ht="16.2" thickBot="1" x14ac:dyDescent="0.35">
      <c r="B44" s="29" t="s">
        <v>54</v>
      </c>
      <c r="C44" s="70">
        <f>ATFL_BS_Consolidated!D55/(C37+C38)</f>
        <v>0.35643970467596392</v>
      </c>
      <c r="D44" s="70">
        <f>ATFL_BS_Consolidated!E55/(D37+D38)</f>
        <v>0.70822622107969146</v>
      </c>
      <c r="E44" s="70">
        <f>ATFL_BS_Consolidated!F55/(E37+E38)</f>
        <v>0.78037135278514591</v>
      </c>
      <c r="F44" s="70">
        <f>ATFL_BS_Consolidated!G55/(F37+F38)</f>
        <v>0.80717863105175292</v>
      </c>
      <c r="G44" s="70">
        <f>ATFL_BS_Consolidated!H55/(G37+G38)</f>
        <v>0.81870552355133852</v>
      </c>
      <c r="H44" s="70">
        <f>ATFL_BS_Consolidated!I55/(H37+H38)</f>
        <v>0.85196987253765932</v>
      </c>
      <c r="I44" s="70">
        <f>ATFL_BS_Consolidated!J55/(I37+I38)</f>
        <v>0.74879732273582933</v>
      </c>
      <c r="J44" s="71">
        <f>ATFL_BS_Consolidated!K55/(J37+J38)</f>
        <v>0.6867450212210251</v>
      </c>
    </row>
    <row r="45" spans="2:10" ht="15" thickBot="1" x14ac:dyDescent="0.35"/>
    <row r="46" spans="2:10" ht="18" x14ac:dyDescent="0.3">
      <c r="B46" s="59" t="s">
        <v>21</v>
      </c>
      <c r="C46" s="60" t="str">
        <f>C2</f>
        <v>Mar'18</v>
      </c>
      <c r="D46" s="60" t="str">
        <f t="shared" ref="D46:J46" si="19">D2</f>
        <v>Mar'19</v>
      </c>
      <c r="E46" s="60" t="str">
        <f t="shared" si="19"/>
        <v>Mar'20</v>
      </c>
      <c r="F46" s="60" t="str">
        <f t="shared" si="19"/>
        <v>Mar'21</v>
      </c>
      <c r="G46" s="60" t="str">
        <f t="shared" si="19"/>
        <v>Mar'22</v>
      </c>
      <c r="H46" s="60" t="str">
        <f t="shared" si="19"/>
        <v>Mar'23</v>
      </c>
      <c r="I46" s="60" t="str">
        <f t="shared" si="19"/>
        <v>Mar'24</v>
      </c>
      <c r="J46" s="60" t="str">
        <f t="shared" si="19"/>
        <v>Mar'25</v>
      </c>
    </row>
    <row r="47" spans="2:10" ht="15.6" x14ac:dyDescent="0.3">
      <c r="B47" s="34" t="s">
        <v>37</v>
      </c>
      <c r="C47" s="35">
        <f>C48/C49</f>
        <v>12.279369051342776</v>
      </c>
      <c r="D47" s="35">
        <f t="shared" ref="D47:J47" si="20">D48/D49</f>
        <v>23.8816337871631</v>
      </c>
      <c r="E47" s="35">
        <f t="shared" si="20"/>
        <v>22.703880850033297</v>
      </c>
      <c r="F47" s="35">
        <f t="shared" si="20"/>
        <v>11.656357388316151</v>
      </c>
      <c r="G47" s="35">
        <f t="shared" si="20"/>
        <v>12.079522862823062</v>
      </c>
      <c r="H47" s="35">
        <f t="shared" si="20"/>
        <v>12.060606060606061</v>
      </c>
      <c r="I47" s="35">
        <f t="shared" si="20"/>
        <v>10.731414868105515</v>
      </c>
      <c r="J47" s="36">
        <f t="shared" si="20"/>
        <v>11.123470522803114</v>
      </c>
    </row>
    <row r="48" spans="2:10" x14ac:dyDescent="0.3">
      <c r="B48" s="31" t="s">
        <v>63</v>
      </c>
      <c r="C48" s="41">
        <f>'ATGL_P&amp;L_Consolidated'!D23</f>
        <v>1374</v>
      </c>
      <c r="D48" s="41">
        <f>'ATGL_P&amp;L_Consolidated'!E23</f>
        <v>1719</v>
      </c>
      <c r="E48" s="41">
        <f>'ATGL_P&amp;L_Consolidated'!F23</f>
        <v>1875</v>
      </c>
      <c r="F48" s="41">
        <f>'ATGL_P&amp;L_Consolidated'!G23</f>
        <v>1696</v>
      </c>
      <c r="G48" s="41">
        <f>'ATGL_P&amp;L_Consolidated'!H23</f>
        <v>3038</v>
      </c>
      <c r="H48" s="41">
        <f>'ATGL_P&amp;L_Consolidated'!I23</f>
        <v>4378</v>
      </c>
      <c r="I48" s="41">
        <f>'ATGL_P&amp;L_Consolidated'!J23</f>
        <v>4475</v>
      </c>
      <c r="J48" s="42">
        <f>'ATGL_P&amp;L_Consolidated'!K23</f>
        <v>5000</v>
      </c>
    </row>
    <row r="49" spans="2:10" x14ac:dyDescent="0.3">
      <c r="B49" s="31" t="s">
        <v>38</v>
      </c>
      <c r="C49" s="32">
        <f>(ATFL_BS_Consolidated!D43+ATFL_BS_Consolidated!E43)/2</f>
        <v>111.89500000000001</v>
      </c>
      <c r="D49" s="32">
        <f>(ATFL_BS_Consolidated!E43+ATFL_BS_Consolidated!F43)/2</f>
        <v>71.98</v>
      </c>
      <c r="E49" s="32">
        <f>(ATFL_BS_Consolidated!F43+ATFL_BS_Consolidated!G43)/2</f>
        <v>82.585000000000008</v>
      </c>
      <c r="F49" s="32">
        <f>(ATFL_BS_Consolidated!G43+ATFL_BS_Consolidated!H43)/2</f>
        <v>145.5</v>
      </c>
      <c r="G49" s="32">
        <f>(ATFL_BS_Consolidated!H43+ATFL_BS_Consolidated!I43)/2</f>
        <v>251.5</v>
      </c>
      <c r="H49" s="32">
        <f>(ATFL_BS_Consolidated!I43+ATFL_BS_Consolidated!J43)/2</f>
        <v>363</v>
      </c>
      <c r="I49" s="32">
        <f>(ATFL_BS_Consolidated!J43+ATFL_BS_Consolidated!K43)/2</f>
        <v>417</v>
      </c>
      <c r="J49" s="33">
        <f>(ATFL_BS_Consolidated!K43+ATFL_BS_Consolidated!L43)/2</f>
        <v>449.5</v>
      </c>
    </row>
    <row r="50" spans="2:10" x14ac:dyDescent="0.3">
      <c r="B50" s="31" t="s">
        <v>22</v>
      </c>
      <c r="C50" s="32">
        <f>365/C47</f>
        <v>29.724654294032025</v>
      </c>
      <c r="D50" s="32">
        <f t="shared" ref="D50:J50" si="21">365/D47</f>
        <v>15.283711460151251</v>
      </c>
      <c r="E50" s="32">
        <f t="shared" si="21"/>
        <v>16.076546666666669</v>
      </c>
      <c r="F50" s="32">
        <f t="shared" si="21"/>
        <v>31.313384433962266</v>
      </c>
      <c r="G50" s="32">
        <f t="shared" si="21"/>
        <v>30.216425279789334</v>
      </c>
      <c r="H50" s="32">
        <f t="shared" si="21"/>
        <v>30.263819095477388</v>
      </c>
      <c r="I50" s="32">
        <f t="shared" si="21"/>
        <v>34.012290502793299</v>
      </c>
      <c r="J50" s="33">
        <f t="shared" si="21"/>
        <v>32.813500000000005</v>
      </c>
    </row>
    <row r="51" spans="2:10" ht="15.6" x14ac:dyDescent="0.3">
      <c r="B51" s="34" t="s">
        <v>39</v>
      </c>
      <c r="C51" s="35">
        <f>C52/C53</f>
        <v>7.2418257261410783</v>
      </c>
      <c r="D51" s="35">
        <f t="shared" ref="D51:J51" si="22">D52/D53</f>
        <v>11.70826858153368</v>
      </c>
      <c r="E51" s="35">
        <f t="shared" si="22"/>
        <v>10.677609385227328</v>
      </c>
      <c r="F51" s="35">
        <f t="shared" si="22"/>
        <v>5.4604255319148933</v>
      </c>
      <c r="G51" s="35">
        <f t="shared" si="22"/>
        <v>8.1612262156448203</v>
      </c>
      <c r="H51" s="35">
        <f t="shared" si="22"/>
        <v>9.6893249607535328</v>
      </c>
      <c r="I51" s="35">
        <f t="shared" si="22"/>
        <v>8.8430434782608689</v>
      </c>
      <c r="J51" s="36">
        <f t="shared" si="22"/>
        <v>11.096610169491525</v>
      </c>
    </row>
    <row r="52" spans="2:10" x14ac:dyDescent="0.3">
      <c r="B52" s="31" t="s">
        <v>41</v>
      </c>
      <c r="C52" s="37">
        <f>'ATGL_P&amp;L_Consolidated'!D27+'ATGL_P&amp;L_Consolidated'!D29</f>
        <v>872.64</v>
      </c>
      <c r="D52" s="37">
        <f>'ATGL_P&amp;L_Consolidated'!E27+'ATGL_P&amp;L_Consolidated'!E29</f>
        <v>1092.44</v>
      </c>
      <c r="E52" s="37">
        <f>'ATGL_P&amp;L_Consolidated'!F27+'ATGL_P&amp;L_Consolidated'!F29</f>
        <v>1060.3399999999999</v>
      </c>
      <c r="F52" s="37">
        <f>'ATGL_P&amp;L_Consolidated'!G27+'ATGL_P&amp;L_Consolidated'!G29</f>
        <v>769.92</v>
      </c>
      <c r="G52" s="37">
        <f>'ATGL_P&amp;L_Consolidated'!H27+'ATGL_P&amp;L_Consolidated'!H29</f>
        <v>1930.13</v>
      </c>
      <c r="H52" s="37">
        <f>'ATGL_P&amp;L_Consolidated'!I27+'ATGL_P&amp;L_Consolidated'!I29</f>
        <v>3086.05</v>
      </c>
      <c r="I52" s="37">
        <f>'ATGL_P&amp;L_Consolidated'!J27+'ATGL_P&amp;L_Consolidated'!J29</f>
        <v>2847.46</v>
      </c>
      <c r="J52" s="38">
        <f>'ATGL_P&amp;L_Consolidated'!K27+'ATGL_P&amp;L_Consolidated'!K29</f>
        <v>3273.5</v>
      </c>
    </row>
    <row r="53" spans="2:10" x14ac:dyDescent="0.3">
      <c r="B53" s="31" t="s">
        <v>40</v>
      </c>
      <c r="C53" s="37">
        <f>(ATFL_BS_Consolidated!D77+ATFL_BS_Consolidated!E77)/2</f>
        <v>120.5</v>
      </c>
      <c r="D53" s="37">
        <f>(ATFL_BS_Consolidated!E77+ATFL_BS_Consolidated!F77)/2</f>
        <v>93.305000000000007</v>
      </c>
      <c r="E53" s="37">
        <f>(ATFL_BS_Consolidated!F77+ATFL_BS_Consolidated!G77)/2</f>
        <v>99.305000000000007</v>
      </c>
      <c r="F53" s="37">
        <f>(ATFL_BS_Consolidated!G77+ATFL_BS_Consolidated!H77)/2</f>
        <v>141</v>
      </c>
      <c r="G53" s="37">
        <f>(ATFL_BS_Consolidated!H77+ATFL_BS_Consolidated!I77)/2</f>
        <v>236.5</v>
      </c>
      <c r="H53" s="37">
        <f>(ATFL_BS_Consolidated!I77+ATFL_BS_Consolidated!J77)/2</f>
        <v>318.5</v>
      </c>
      <c r="I53" s="37">
        <f>(ATFL_BS_Consolidated!J77+ATFL_BS_Consolidated!K77)/2</f>
        <v>322</v>
      </c>
      <c r="J53" s="38">
        <f>(ATFL_BS_Consolidated!K77+ATFL_BS_Consolidated!L77)/2</f>
        <v>295</v>
      </c>
    </row>
    <row r="54" spans="2:10" x14ac:dyDescent="0.3">
      <c r="B54" s="31" t="s">
        <v>23</v>
      </c>
      <c r="C54" s="32">
        <f>365/C51</f>
        <v>50.40165474880822</v>
      </c>
      <c r="D54" s="32">
        <f t="shared" ref="D54:J54" si="23">365/D51</f>
        <v>31.174549632016404</v>
      </c>
      <c r="E54" s="32">
        <f t="shared" si="23"/>
        <v>34.183681649282313</v>
      </c>
      <c r="F54" s="32">
        <f t="shared" si="23"/>
        <v>66.844607231920207</v>
      </c>
      <c r="G54" s="32">
        <f t="shared" si="23"/>
        <v>44.723671462543976</v>
      </c>
      <c r="H54" s="32">
        <f t="shared" si="23"/>
        <v>37.670322904683978</v>
      </c>
      <c r="I54" s="32">
        <f t="shared" si="23"/>
        <v>41.275382270514775</v>
      </c>
      <c r="J54" s="33">
        <f t="shared" si="23"/>
        <v>32.892928058652821</v>
      </c>
    </row>
    <row r="55" spans="2:10" x14ac:dyDescent="0.3">
      <c r="B55" s="39"/>
      <c r="C55" s="32"/>
      <c r="D55" s="32"/>
      <c r="E55" s="32"/>
      <c r="F55" s="32"/>
      <c r="G55" s="32"/>
      <c r="H55" s="2"/>
      <c r="I55" s="3"/>
      <c r="J55" s="30"/>
    </row>
    <row r="56" spans="2:10" ht="15.6" x14ac:dyDescent="0.3">
      <c r="B56" s="72" t="s">
        <v>24</v>
      </c>
      <c r="C56" s="35">
        <f>C50-C54</f>
        <v>-20.677000454776195</v>
      </c>
      <c r="D56" s="35">
        <f t="shared" ref="D56:J56" si="24">D50-D54</f>
        <v>-15.890838171865154</v>
      </c>
      <c r="E56" s="35">
        <f t="shared" si="24"/>
        <v>-18.107134982615644</v>
      </c>
      <c r="F56" s="35">
        <f t="shared" si="24"/>
        <v>-35.531222797957938</v>
      </c>
      <c r="G56" s="35">
        <f t="shared" si="24"/>
        <v>-14.507246182754642</v>
      </c>
      <c r="H56" s="35">
        <f t="shared" si="24"/>
        <v>-7.4065038092065905</v>
      </c>
      <c r="I56" s="35">
        <f t="shared" si="24"/>
        <v>-7.2630917677214768</v>
      </c>
      <c r="J56" s="36">
        <f t="shared" si="24"/>
        <v>-7.9428058652815992E-2</v>
      </c>
    </row>
    <row r="57" spans="2:10" x14ac:dyDescent="0.3">
      <c r="B57" s="73"/>
      <c r="C57" s="32"/>
      <c r="D57" s="32"/>
      <c r="E57" s="32"/>
      <c r="F57" s="32"/>
      <c r="G57" s="32"/>
      <c r="I57" s="3"/>
      <c r="J57" s="30"/>
    </row>
    <row r="58" spans="2:10" ht="15.6" x14ac:dyDescent="0.3">
      <c r="B58" s="34" t="s">
        <v>42</v>
      </c>
      <c r="C58" s="35">
        <f>C15/C59</f>
        <v>22.552949372967948</v>
      </c>
      <c r="D58" s="35">
        <f t="shared" ref="D58:J58" si="25">D15/D59</f>
        <v>28.237860661505984</v>
      </c>
      <c r="E58" s="35">
        <f t="shared" si="25"/>
        <v>25.492873218304577</v>
      </c>
      <c r="F58" s="35">
        <f t="shared" si="25"/>
        <v>14.353443590340865</v>
      </c>
      <c r="G58" s="35">
        <f t="shared" si="25"/>
        <v>25.922260641468938</v>
      </c>
      <c r="H58" s="35">
        <f t="shared" si="25"/>
        <v>35.92300005259559</v>
      </c>
      <c r="I58" s="35">
        <f t="shared" si="25"/>
        <v>30.028721476042197</v>
      </c>
      <c r="J58" s="36">
        <f t="shared" si="25"/>
        <v>33.361981981981984</v>
      </c>
    </row>
    <row r="59" spans="2:10" x14ac:dyDescent="0.3">
      <c r="B59" s="31" t="s">
        <v>25</v>
      </c>
      <c r="C59" s="32">
        <f>(ATFL_BS_Consolidated!D41+ATFL_BS_Consolidated!E41)/2</f>
        <v>43.06</v>
      </c>
      <c r="D59" s="32">
        <f>(ATFL_BS_Consolidated!E41+ATFL_BS_Consolidated!F41)/2</f>
        <v>42.629999999999995</v>
      </c>
      <c r="E59" s="32">
        <f>(ATFL_BS_Consolidated!F41+ATFL_BS_Consolidated!G41)/2</f>
        <v>46.655000000000001</v>
      </c>
      <c r="F59" s="32">
        <f>(ATFL_BS_Consolidated!G41+ATFL_BS_Consolidated!H41)/2</f>
        <v>64.394999999999996</v>
      </c>
      <c r="G59" s="32">
        <f>(ATFL_BS_Consolidated!H41+ATFL_BS_Consolidated!I41)/2</f>
        <v>83.87</v>
      </c>
      <c r="H59" s="32">
        <f>(ATFL_BS_Consolidated!I41+ATFL_BS_Consolidated!J41)/2</f>
        <v>95.064999999999998</v>
      </c>
      <c r="I59" s="32">
        <f>(ATFL_BS_Consolidated!J41+ATFL_BS_Consolidated!K41)/2</f>
        <v>107.58500000000001</v>
      </c>
      <c r="J59" s="33">
        <f>(ATFL_BS_Consolidated!K41+ATFL_BS_Consolidated!L41)/2</f>
        <v>111</v>
      </c>
    </row>
    <row r="60" spans="2:10" x14ac:dyDescent="0.3">
      <c r="B60" s="31"/>
      <c r="C60" s="37"/>
      <c r="D60" s="37"/>
      <c r="E60" s="37"/>
      <c r="F60" s="37"/>
      <c r="G60" s="37"/>
      <c r="I60" s="3"/>
      <c r="J60" s="30"/>
    </row>
    <row r="61" spans="2:10" ht="15.6" x14ac:dyDescent="0.3">
      <c r="B61" s="34" t="s">
        <v>43</v>
      </c>
      <c r="C61" s="35">
        <f>C15/C62</f>
        <v>3.3837282229965151</v>
      </c>
      <c r="D61" s="35">
        <f t="shared" ref="D61:J61" si="26">D15/D62</f>
        <v>6.6141758241758239</v>
      </c>
      <c r="E61" s="35">
        <f t="shared" si="26"/>
        <v>-36.041515151515156</v>
      </c>
      <c r="F61" s="35">
        <f t="shared" si="26"/>
        <v>-1.579982905982906</v>
      </c>
      <c r="G61" s="35">
        <f t="shared" si="26"/>
        <v>-1.9728675136116152</v>
      </c>
      <c r="H61" s="35">
        <f t="shared" si="26"/>
        <v>-2.5580674157303371</v>
      </c>
      <c r="I61" s="35">
        <f t="shared" si="26"/>
        <v>-4.1471630295250321</v>
      </c>
      <c r="J61" s="36">
        <f t="shared" si="26"/>
        <v>-8.8805275779376487</v>
      </c>
    </row>
    <row r="62" spans="2:10" x14ac:dyDescent="0.3">
      <c r="B62" s="31" t="s">
        <v>26</v>
      </c>
      <c r="C62" s="55">
        <f>ATFL_BS_Consolidated!D39-ATFL_BS_Consolidated!D75</f>
        <v>287</v>
      </c>
      <c r="D62" s="55">
        <f>ATFL_BS_Consolidated!E39-ATFL_BS_Consolidated!E75</f>
        <v>182</v>
      </c>
      <c r="E62" s="55">
        <f>ATFL_BS_Consolidated!F39-ATFL_BS_Consolidated!F75</f>
        <v>-33</v>
      </c>
      <c r="F62" s="55">
        <f>ATFL_BS_Consolidated!G39-ATFL_BS_Consolidated!G75</f>
        <v>-585</v>
      </c>
      <c r="G62" s="55">
        <f>ATFL_BS_Consolidated!H39-ATFL_BS_Consolidated!H75</f>
        <v>-1102</v>
      </c>
      <c r="H62" s="55">
        <f>ATFL_BS_Consolidated!I39-ATFL_BS_Consolidated!I75</f>
        <v>-1335</v>
      </c>
      <c r="I62" s="55">
        <f>ATFL_BS_Consolidated!J39-ATFL_BS_Consolidated!J75</f>
        <v>-779</v>
      </c>
      <c r="J62" s="74">
        <f>ATFL_BS_Consolidated!K39-ATFL_BS_Consolidated!K75</f>
        <v>-417</v>
      </c>
    </row>
    <row r="63" spans="2:10" x14ac:dyDescent="0.3">
      <c r="B63" s="31" t="s">
        <v>19</v>
      </c>
      <c r="C63" s="41">
        <f>C48-C15</f>
        <v>402.87000000000012</v>
      </c>
      <c r="D63" s="41">
        <f t="shared" ref="D63:J63" si="27">D48-D15</f>
        <v>515.22</v>
      </c>
      <c r="E63" s="41">
        <f t="shared" si="27"/>
        <v>685.62999999999988</v>
      </c>
      <c r="F63" s="41">
        <f t="shared" si="27"/>
        <v>771.71</v>
      </c>
      <c r="G63" s="41">
        <f t="shared" si="27"/>
        <v>863.90000000000009</v>
      </c>
      <c r="H63" s="41">
        <f t="shared" si="27"/>
        <v>962.98</v>
      </c>
      <c r="I63" s="41">
        <f t="shared" si="27"/>
        <v>1244.3600000000001</v>
      </c>
      <c r="J63" s="42">
        <f t="shared" si="27"/>
        <v>1296.8200000000002</v>
      </c>
    </row>
    <row r="64" spans="2:10" ht="15.6" x14ac:dyDescent="0.3">
      <c r="B64" s="34" t="s">
        <v>44</v>
      </c>
      <c r="C64" s="35">
        <f>C48/C65</f>
        <v>1.3753753753753755</v>
      </c>
      <c r="D64" s="35">
        <f t="shared" ref="D64:J64" si="28">D48/D65</f>
        <v>1.4692307692307693</v>
      </c>
      <c r="E64" s="35">
        <f t="shared" si="28"/>
        <v>1.2175324675324675</v>
      </c>
      <c r="F64" s="35">
        <f t="shared" si="28"/>
        <v>0.8173493975903614</v>
      </c>
      <c r="G64" s="35">
        <f t="shared" si="28"/>
        <v>1.0461432506887052</v>
      </c>
      <c r="H64" s="35">
        <f t="shared" si="28"/>
        <v>1.107233181588265</v>
      </c>
      <c r="I64" s="35">
        <f t="shared" si="28"/>
        <v>0.95701454234388361</v>
      </c>
      <c r="J64" s="36">
        <f t="shared" si="28"/>
        <v>0.90530508781459351</v>
      </c>
    </row>
    <row r="65" spans="2:10" ht="15" thickBot="1" x14ac:dyDescent="0.35">
      <c r="B65" s="40" t="s">
        <v>27</v>
      </c>
      <c r="C65" s="43">
        <f>ATFL_BS_Consolidated!D27+ATFL_BS_Consolidated!D31</f>
        <v>999</v>
      </c>
      <c r="D65" s="43">
        <f>ATFL_BS_Consolidated!E27+ATFL_BS_Consolidated!E31</f>
        <v>1170</v>
      </c>
      <c r="E65" s="43">
        <f>ATFL_BS_Consolidated!F27+ATFL_BS_Consolidated!F31</f>
        <v>1540</v>
      </c>
      <c r="F65" s="43">
        <f>ATFL_BS_Consolidated!G27+ATFL_BS_Consolidated!G31</f>
        <v>2075</v>
      </c>
      <c r="G65" s="43">
        <f>ATFL_BS_Consolidated!H27+ATFL_BS_Consolidated!H31</f>
        <v>2904</v>
      </c>
      <c r="H65" s="43">
        <f>ATFL_BS_Consolidated!I27+ATFL_BS_Consolidated!I31</f>
        <v>3954</v>
      </c>
      <c r="I65" s="43">
        <f>ATFL_BS_Consolidated!J27+ATFL_BS_Consolidated!J31</f>
        <v>4676</v>
      </c>
      <c r="J65" s="44">
        <f>ATFL_BS_Consolidated!K27+ATFL_BS_Consolidated!K31</f>
        <v>5523</v>
      </c>
    </row>
    <row r="66" spans="2:10" ht="15" thickBot="1" x14ac:dyDescent="0.35"/>
    <row r="67" spans="2:10" ht="18" x14ac:dyDescent="0.3">
      <c r="B67" s="59" t="s">
        <v>28</v>
      </c>
      <c r="C67" s="60" t="str">
        <f>C2</f>
        <v>Mar'18</v>
      </c>
      <c r="D67" s="60" t="str">
        <f t="shared" ref="D67:J67" si="29">D2</f>
        <v>Mar'19</v>
      </c>
      <c r="E67" s="60" t="str">
        <f t="shared" si="29"/>
        <v>Mar'20</v>
      </c>
      <c r="F67" s="60" t="str">
        <f t="shared" si="29"/>
        <v>Mar'21</v>
      </c>
      <c r="G67" s="60" t="str">
        <f t="shared" si="29"/>
        <v>Mar'22</v>
      </c>
      <c r="H67" s="60" t="str">
        <f t="shared" si="29"/>
        <v>Mar'23</v>
      </c>
      <c r="I67" s="60" t="str">
        <f t="shared" si="29"/>
        <v>Mar'24</v>
      </c>
      <c r="J67" s="60" t="str">
        <f t="shared" si="29"/>
        <v>Mar'25</v>
      </c>
    </row>
    <row r="68" spans="2:10" ht="15.6" x14ac:dyDescent="0.3">
      <c r="B68" s="75" t="s">
        <v>55</v>
      </c>
      <c r="C68" s="56">
        <f>C69/C70</f>
        <v>159.9111111111111</v>
      </c>
      <c r="D68" s="56">
        <f t="shared" ref="D68:J68" si="30">D69/D70</f>
        <v>78.152838427947586</v>
      </c>
      <c r="E68" s="56">
        <f t="shared" si="30"/>
        <v>94.761467889908261</v>
      </c>
      <c r="F68" s="56">
        <f t="shared" si="30"/>
        <v>409.06695464362849</v>
      </c>
      <c r="G68" s="56">
        <f t="shared" si="30"/>
        <v>798.06188605108059</v>
      </c>
      <c r="H68" s="56">
        <f t="shared" si="30"/>
        <v>199.03754578754578</v>
      </c>
      <c r="I68" s="56">
        <f t="shared" si="30"/>
        <v>125.32260479041916</v>
      </c>
      <c r="J68" s="76">
        <f t="shared" si="30"/>
        <v>95.316513761467903</v>
      </c>
    </row>
    <row r="69" spans="2:10" x14ac:dyDescent="0.3">
      <c r="B69" s="45" t="s">
        <v>58</v>
      </c>
      <c r="C69" s="57">
        <v>100.8</v>
      </c>
      <c r="D69" s="57">
        <v>162.69999999999999</v>
      </c>
      <c r="E69" s="57">
        <v>375.6</v>
      </c>
      <c r="F69" s="57">
        <v>1721.8</v>
      </c>
      <c r="G69" s="57">
        <v>3692.85</v>
      </c>
      <c r="H69" s="57">
        <v>987.95</v>
      </c>
      <c r="I69" s="57">
        <v>761.05</v>
      </c>
      <c r="J69" s="77">
        <v>566.70000000000005</v>
      </c>
    </row>
    <row r="70" spans="2:10" x14ac:dyDescent="0.3">
      <c r="B70" s="45" t="s">
        <v>56</v>
      </c>
      <c r="C70" s="57">
        <f>C22</f>
        <v>0.63035019455252916</v>
      </c>
      <c r="D70" s="57">
        <f t="shared" ref="D70:J70" si="31">D22</f>
        <v>2.081818181818182</v>
      </c>
      <c r="E70" s="57">
        <f t="shared" si="31"/>
        <v>3.9636363636363638</v>
      </c>
      <c r="F70" s="57">
        <f t="shared" si="31"/>
        <v>4.209090909090909</v>
      </c>
      <c r="G70" s="57">
        <f t="shared" si="31"/>
        <v>4.627272727272727</v>
      </c>
      <c r="H70" s="57">
        <f t="shared" si="31"/>
        <v>4.9636363636363638</v>
      </c>
      <c r="I70" s="57">
        <f t="shared" si="31"/>
        <v>6.0727272727272723</v>
      </c>
      <c r="J70" s="77">
        <f t="shared" si="31"/>
        <v>5.9454545454545453</v>
      </c>
    </row>
    <row r="71" spans="2:10" ht="15.6" x14ac:dyDescent="0.3">
      <c r="B71" s="75" t="s">
        <v>57</v>
      </c>
      <c r="C71" s="56">
        <f>C69/C72</f>
        <v>29.810817031070194</v>
      </c>
      <c r="D71" s="56">
        <f t="shared" ref="D71:J71" si="32">D69/D72</f>
        <v>16.240471869328495</v>
      </c>
      <c r="E71" s="56">
        <f t="shared" si="32"/>
        <v>28.087015635622027</v>
      </c>
      <c r="F71" s="56">
        <f t="shared" si="32"/>
        <v>97.930713547052733</v>
      </c>
      <c r="G71" s="56">
        <f t="shared" si="32"/>
        <v>168.13472682119203</v>
      </c>
      <c r="H71" s="56">
        <f t="shared" si="32"/>
        <v>36.951547092825571</v>
      </c>
      <c r="I71" s="56">
        <f t="shared" si="32"/>
        <v>23.384217877094969</v>
      </c>
      <c r="J71" s="76">
        <f t="shared" si="32"/>
        <v>14.817447111956266</v>
      </c>
    </row>
    <row r="72" spans="2:10" x14ac:dyDescent="0.3">
      <c r="B72" s="78" t="s">
        <v>59</v>
      </c>
      <c r="C72" s="58">
        <f>ATFL_BS_Consolidated!D55/ATFL_BS_Consolidated!D57</f>
        <v>3.3813229571984436</v>
      </c>
      <c r="D72" s="58">
        <f>ATFL_BS_Consolidated!E55/ATFL_BS_Consolidated!E57</f>
        <v>10.018181818181818</v>
      </c>
      <c r="E72" s="58">
        <f>ATFL_BS_Consolidated!F55/ATFL_BS_Consolidated!F57</f>
        <v>13.372727272727273</v>
      </c>
      <c r="F72" s="58">
        <f>ATFL_BS_Consolidated!G55/ATFL_BS_Consolidated!G57</f>
        <v>17.581818181818182</v>
      </c>
      <c r="G72" s="58">
        <f>ATFL_BS_Consolidated!H55/ATFL_BS_Consolidated!H57</f>
        <v>21.963636363636365</v>
      </c>
      <c r="H72" s="58">
        <f>ATFL_BS_Consolidated!I55/ATFL_BS_Consolidated!I57</f>
        <v>26.736363636363638</v>
      </c>
      <c r="I72" s="58">
        <f>ATFL_BS_Consolidated!J55/ATFL_BS_Consolidated!J57</f>
        <v>32.545454545454547</v>
      </c>
      <c r="J72" s="79">
        <f>ATFL_BS_Consolidated!K55/ATFL_BS_Consolidated!K57</f>
        <v>38.245454545454542</v>
      </c>
    </row>
    <row r="73" spans="2:10" x14ac:dyDescent="0.3">
      <c r="B73" s="99"/>
      <c r="J73" s="30"/>
    </row>
    <row r="74" spans="2:10" ht="15.6" x14ac:dyDescent="0.3">
      <c r="B74" s="46" t="s">
        <v>65</v>
      </c>
    </row>
    <row r="75" spans="2:10" ht="28.8" x14ac:dyDescent="0.3">
      <c r="B75" s="47" t="s">
        <v>66</v>
      </c>
    </row>
    <row r="76" spans="2:10" x14ac:dyDescent="0.3">
      <c r="B76" s="47" t="s">
        <v>67</v>
      </c>
    </row>
  </sheetData>
  <mergeCells count="1">
    <mergeCell ref="B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B33A-035C-42B3-B631-76E8077382E2}">
  <dimension ref="B2:L43"/>
  <sheetViews>
    <sheetView showGridLines="0" zoomScale="70" zoomScaleNormal="70" workbookViewId="0">
      <selection activeCell="B55" sqref="B55"/>
    </sheetView>
  </sheetViews>
  <sheetFormatPr defaultRowHeight="14.4" x14ac:dyDescent="0.3"/>
  <cols>
    <col min="1" max="1" width="2.21875" customWidth="1"/>
    <col min="2" max="2" width="33.88671875" style="109" customWidth="1"/>
    <col min="3" max="10" width="10.88671875" customWidth="1"/>
  </cols>
  <sheetData>
    <row r="2" spans="2:10" x14ac:dyDescent="0.3">
      <c r="B2" s="109" t="s">
        <v>64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</row>
    <row r="3" spans="2:10" ht="34.200000000000003" customHeight="1" x14ac:dyDescent="0.3">
      <c r="B3" s="109" t="str">
        <f>'ATGL_Finanacial Ratios'!B4</f>
        <v>CURRENT RATIO = Current Assets/Current Liability</v>
      </c>
      <c r="C3" s="105">
        <f>'ATGL_Finanacial Ratios'!C4</f>
        <v>1.7884615384615385</v>
      </c>
      <c r="D3" s="105">
        <f>'ATGL_Finanacial Ratios'!D4</f>
        <v>1.3699186991869918</v>
      </c>
      <c r="E3" s="105">
        <f>'ATGL_Finanacial Ratios'!E4</f>
        <v>0.9441624365482234</v>
      </c>
      <c r="F3" s="105">
        <f>'ATGL_Finanacial Ratios'!F4</f>
        <v>0.27599009900990101</v>
      </c>
      <c r="G3" s="105">
        <f>'ATGL_Finanacial Ratios'!G4</f>
        <v>0.24726775956284153</v>
      </c>
      <c r="H3" s="105">
        <f>'ATGL_Finanacial Ratios'!H4</f>
        <v>0.39124487004103969</v>
      </c>
      <c r="I3" s="105">
        <f>'ATGL_Finanacial Ratios'!I4</f>
        <v>0.56985091109884045</v>
      </c>
      <c r="J3" s="105">
        <f>'ATGL_Finanacial Ratios'!J4</f>
        <v>0.72886866059817945</v>
      </c>
    </row>
    <row r="4" spans="2:10" ht="34.200000000000003" customHeight="1" x14ac:dyDescent="0.3">
      <c r="B4" s="109" t="str">
        <f>'ATGL_Finanacial Ratios'!B7</f>
        <v>QUICK RATIO = QuiCK Asset/Current Liability</v>
      </c>
      <c r="C4" s="105">
        <f>'ATGL_Finanacial Ratios'!C7</f>
        <v>1.6726373626373627</v>
      </c>
      <c r="D4" s="105">
        <f>'ATGL_Finanacial Ratios'!D7</f>
        <v>1.2805691056910569</v>
      </c>
      <c r="E4" s="105">
        <f>'ATGL_Finanacial Ratios'!E7</f>
        <v>0.87428087986463632</v>
      </c>
      <c r="F4" s="105">
        <f>'ATGL_Finanacial Ratios'!F7</f>
        <v>0.21162128712871289</v>
      </c>
      <c r="G4" s="105">
        <f>'ATGL_Finanacial Ratios'!G7</f>
        <v>0.19482240437158471</v>
      </c>
      <c r="H4" s="105">
        <f>'ATGL_Finanacial Ratios'!H7</f>
        <v>0.3497674418604651</v>
      </c>
      <c r="I4" s="105">
        <f>'ATGL_Finanacial Ratios'!I7</f>
        <v>0.51509110988404194</v>
      </c>
      <c r="J4" s="105">
        <f>'ATGL_Finanacial Ratios'!J7</f>
        <v>0.65344603381014299</v>
      </c>
    </row>
    <row r="5" spans="2:10" ht="36" customHeight="1" x14ac:dyDescent="0.3">
      <c r="B5" s="109" t="str">
        <f>'ATGL_Finanacial Ratios'!B9</f>
        <v>ABSOLUTE LIQUID RATIO= CASH+BANK+CI+MS/Current Liability</v>
      </c>
      <c r="C5" s="105">
        <f>'ATGL_Finanacial Ratios'!C9</f>
        <v>0.24651098901098903</v>
      </c>
      <c r="D5" s="105">
        <f>'ATGL_Finanacial Ratios'!D9</f>
        <v>0.32520325203252032</v>
      </c>
      <c r="E5" s="105">
        <f>'ATGL_Finanacial Ratios'!E9</f>
        <v>0.15138747884940779</v>
      </c>
      <c r="F5" s="105">
        <f>'ATGL_Finanacial Ratios'!F9</f>
        <v>1.3452970297029703E-2</v>
      </c>
      <c r="G5" s="105">
        <f>'ATGL_Finanacial Ratios'!G9</f>
        <v>2.3442622950819673E-2</v>
      </c>
      <c r="H5" s="105">
        <f>'ATGL_Finanacial Ratios'!H9</f>
        <v>0.16963064295485636</v>
      </c>
      <c r="I5" s="105">
        <f>'ATGL_Finanacial Ratios'!I9</f>
        <v>0.25179458862506904</v>
      </c>
      <c r="J5" s="105">
        <f>'ATGL_Finanacial Ratios'!J9</f>
        <v>0.32316644993498045</v>
      </c>
    </row>
    <row r="8" spans="2:10" x14ac:dyDescent="0.3">
      <c r="B8" s="109" t="s">
        <v>30</v>
      </c>
      <c r="C8" s="109" t="s">
        <v>86</v>
      </c>
      <c r="D8" s="109" t="s">
        <v>87</v>
      </c>
      <c r="E8" s="109" t="s">
        <v>88</v>
      </c>
      <c r="F8" s="109" t="s">
        <v>89</v>
      </c>
      <c r="G8" s="109" t="s">
        <v>90</v>
      </c>
      <c r="H8" s="109" t="s">
        <v>91</v>
      </c>
      <c r="I8" s="109" t="s">
        <v>92</v>
      </c>
      <c r="J8" s="109" t="s">
        <v>93</v>
      </c>
    </row>
    <row r="9" spans="2:10" ht="36" customHeight="1" x14ac:dyDescent="0.3">
      <c r="B9" s="109" t="str">
        <f>'ATGL_Finanacial Ratios'!B13</f>
        <v>GROSS PROFIT RATIO= GP/Total Renenue from Operation X100</v>
      </c>
      <c r="C9" s="105">
        <f>'ATGL_Finanacial Ratios'!C13</f>
        <v>29.320960698689966</v>
      </c>
      <c r="D9" s="105">
        <f>'ATGL_Finanacial Ratios'!D13</f>
        <v>29.972076788830716</v>
      </c>
      <c r="E9" s="105">
        <f>'ATGL_Finanacial Ratios'!E13</f>
        <v>36.566933333333324</v>
      </c>
      <c r="F9" s="105">
        <f>'ATGL_Finanacial Ratios'!F13</f>
        <v>45.501768867924525</v>
      </c>
      <c r="G9" s="105">
        <f>'ATGL_Finanacial Ratios'!G13</f>
        <v>28.436471362738647</v>
      </c>
      <c r="H9" s="105">
        <f>'ATGL_Finanacial Ratios'!H13</f>
        <v>21.995888533576977</v>
      </c>
      <c r="I9" s="105">
        <f>'ATGL_Finanacial Ratios'!I13</f>
        <v>27.806927374301679</v>
      </c>
      <c r="J9" s="105">
        <f>'ATGL_Finanacial Ratios'!J13</f>
        <v>25.936400000000003</v>
      </c>
    </row>
    <row r="10" spans="2:10" ht="36" customHeight="1" x14ac:dyDescent="0.3">
      <c r="B10" s="109" t="str">
        <f>'ATGL_Finanacial Ratios'!B17</f>
        <v>OPERATING PROFIT RATIO=EBIT/TOT OP REVX100</v>
      </c>
      <c r="C10" s="105">
        <f>'ATGL_Finanacial Ratios'!C17</f>
        <v>22.124454148471617</v>
      </c>
      <c r="D10" s="105">
        <f>'ATGL_Finanacial Ratios'!D17</f>
        <v>22.553228621291453</v>
      </c>
      <c r="E10" s="105">
        <f>'ATGL_Finanacial Ratios'!E17</f>
        <v>29.02933333333333</v>
      </c>
      <c r="F10" s="105">
        <f>'ATGL_Finanacial Ratios'!F17</f>
        <v>37.823113207547173</v>
      </c>
      <c r="G10" s="105">
        <f>'ATGL_Finanacial Ratios'!G17</f>
        <v>22.721198156682025</v>
      </c>
      <c r="H10" s="105">
        <f>'ATGL_Finanacial Ratios'!H17</f>
        <v>17.291000456829604</v>
      </c>
      <c r="I10" s="105">
        <f>'ATGL_Finanacial Ratios'!I17</f>
        <v>21.139664804469273</v>
      </c>
      <c r="J10" s="105">
        <f>'ATGL_Finanacial Ratios'!J17</f>
        <v>18.579999999999998</v>
      </c>
    </row>
    <row r="11" spans="2:10" ht="36" customHeight="1" x14ac:dyDescent="0.3">
      <c r="B11" s="109" t="str">
        <f>'ATGL_Finanacial Ratios'!B19</f>
        <v>NET PROFIT RATIO=PAT/NET REVENUEX100</v>
      </c>
      <c r="C11" s="105">
        <f>'ATGL_Finanacial Ratios'!C19</f>
        <v>11.790393013100436</v>
      </c>
      <c r="D11" s="105">
        <f>'ATGL_Finanacial Ratios'!D19</f>
        <v>13.321698662012798</v>
      </c>
      <c r="E11" s="105">
        <f>'ATGL_Finanacial Ratios'!E19</f>
        <v>23.253333333333334</v>
      </c>
      <c r="F11" s="105">
        <f>'ATGL_Finanacial Ratios'!F19</f>
        <v>27.299528301886795</v>
      </c>
      <c r="G11" s="105">
        <f>'ATGL_Finanacial Ratios'!G19</f>
        <v>16.754443712969056</v>
      </c>
      <c r="H11" s="105">
        <f>'ATGL_Finanacial Ratios'!H19</f>
        <v>12.471448149840111</v>
      </c>
      <c r="I11" s="105">
        <f>'ATGL_Finanacial Ratios'!I19</f>
        <v>14.927374301675977</v>
      </c>
      <c r="J11" s="105">
        <f>'ATGL_Finanacial Ratios'!J19</f>
        <v>13.08</v>
      </c>
    </row>
    <row r="12" spans="2:10" ht="36" customHeight="1" x14ac:dyDescent="0.3">
      <c r="B12" s="109" t="str">
        <f>'ATGL_Finanacial Ratios'!B22</f>
        <v>EARNINGS PER SHARE =PAT/NO OF EQ SHARES</v>
      </c>
      <c r="C12" s="105">
        <f>'ATGL_Finanacial Ratios'!C22</f>
        <v>0.63035019455252916</v>
      </c>
      <c r="D12" s="105">
        <f>'ATGL_Finanacial Ratios'!D22</f>
        <v>2.081818181818182</v>
      </c>
      <c r="E12" s="105">
        <f>'ATGL_Finanacial Ratios'!E22</f>
        <v>3.9636363636363638</v>
      </c>
      <c r="F12" s="105">
        <f>'ATGL_Finanacial Ratios'!F22</f>
        <v>4.209090909090909</v>
      </c>
      <c r="G12" s="105">
        <f>'ATGL_Finanacial Ratios'!G22</f>
        <v>4.627272727272727</v>
      </c>
      <c r="H12" s="105">
        <f>'ATGL_Finanacial Ratios'!H22</f>
        <v>4.9636363636363638</v>
      </c>
      <c r="I12" s="105">
        <f>'ATGL_Finanacial Ratios'!I22</f>
        <v>6.0727272727272723</v>
      </c>
      <c r="J12" s="105">
        <f>'ATGL_Finanacial Ratios'!J22</f>
        <v>5.9454545454545453</v>
      </c>
    </row>
    <row r="13" spans="2:10" ht="36" customHeight="1" x14ac:dyDescent="0.3">
      <c r="B13" s="109" t="str">
        <f>'ATGL_Finanacial Ratios'!B27</f>
        <v>RETURN ON EQUITY=PROFIT AFTER TAX(PAT)/EQ SH FUNDSX100</v>
      </c>
      <c r="C13" s="105">
        <f>'ATGL_Finanacial Ratios'!C27</f>
        <v>18.642117376294593</v>
      </c>
      <c r="D13" s="105">
        <f>'ATGL_Finanacial Ratios'!D27</f>
        <v>20.780399274047188</v>
      </c>
      <c r="E13" s="105">
        <f>'ATGL_Finanacial Ratios'!E27</f>
        <v>29.63970088375255</v>
      </c>
      <c r="F13" s="105">
        <f>'ATGL_Finanacial Ratios'!F27</f>
        <v>23.940020682523269</v>
      </c>
      <c r="G13" s="105">
        <f>'ATGL_Finanacial Ratios'!G27</f>
        <v>21.067880794701988</v>
      </c>
      <c r="H13" s="105">
        <f>'ATGL_Finanacial Ratios'!H27</f>
        <v>18.565113906834409</v>
      </c>
      <c r="I13" s="105">
        <f>'ATGL_Finanacial Ratios'!I27</f>
        <v>18.659217877094971</v>
      </c>
      <c r="J13" s="105">
        <f>'ATGL_Finanacial Ratios'!J27</f>
        <v>15.545519372474448</v>
      </c>
    </row>
    <row r="14" spans="2:10" ht="36" customHeight="1" x14ac:dyDescent="0.3">
      <c r="B14" s="109" t="str">
        <f>'ATGL_Finanacial Ratios'!B30</f>
        <v>RETURN ON CAPITAL EMPLOYED=EBIT/ CPL EMPLOYEDX100</v>
      </c>
      <c r="C14" s="105">
        <f>'ATGL_Finanacial Ratios'!C30</f>
        <v>12.468826907301068</v>
      </c>
      <c r="D14" s="105">
        <f>'ATGL_Finanacial Ratios'!D30</f>
        <v>24.915809768637537</v>
      </c>
      <c r="E14" s="105">
        <f>'ATGL_Finanacial Ratios'!E30</f>
        <v>28.875331564986734</v>
      </c>
      <c r="F14" s="105">
        <f>'ATGL_Finanacial Ratios'!F30</f>
        <v>26.772954924874792</v>
      </c>
      <c r="G14" s="105">
        <f>'ATGL_Finanacial Ratios'!G30</f>
        <v>23.391053880040662</v>
      </c>
      <c r="H14" s="105">
        <f>'ATGL_Finanacial Ratios'!H30</f>
        <v>21.929316338354575</v>
      </c>
      <c r="I14" s="105">
        <f>'ATGL_Finanacial Ratios'!I30</f>
        <v>19.786655511399289</v>
      </c>
      <c r="J14" s="105">
        <f>'ATGL_Finanacial Ratios'!J30</f>
        <v>15.164871041462618</v>
      </c>
    </row>
    <row r="17" spans="2:10" x14ac:dyDescent="0.3">
      <c r="B17" s="109" t="s">
        <v>20</v>
      </c>
      <c r="C17" s="104" t="s">
        <v>86</v>
      </c>
      <c r="D17" s="104" t="s">
        <v>87</v>
      </c>
      <c r="E17" s="104" t="s">
        <v>88</v>
      </c>
      <c r="F17" s="104" t="s">
        <v>89</v>
      </c>
      <c r="G17" s="104" t="s">
        <v>90</v>
      </c>
      <c r="H17" s="104" t="s">
        <v>91</v>
      </c>
      <c r="I17" s="104" t="s">
        <v>92</v>
      </c>
      <c r="J17" s="104" t="s">
        <v>93</v>
      </c>
    </row>
    <row r="18" spans="2:10" ht="34.200000000000003" customHeight="1" x14ac:dyDescent="0.3">
      <c r="B18" s="109" t="str">
        <f>'ATGL_Finanacial Ratios'!B36</f>
        <v>DEBT EQUITY RATIO=LONG TERM DEBT/EQUITY</v>
      </c>
      <c r="C18" s="107">
        <f>'ATGL_Finanacial Ratios'!C36</f>
        <v>1.805523590333717</v>
      </c>
      <c r="D18" s="107">
        <f>'ATGL_Finanacial Ratios'!D36</f>
        <v>0.41197822141560797</v>
      </c>
      <c r="E18" s="107">
        <f>'ATGL_Finanacial Ratios'!E36</f>
        <v>0.28144119646498983</v>
      </c>
      <c r="F18" s="107">
        <f>'ATGL_Finanacial Ratios'!F36</f>
        <v>0.23888314374353672</v>
      </c>
      <c r="G18" s="107">
        <f>'ATGL_Finanacial Ratios'!G36</f>
        <v>0.22144039735099338</v>
      </c>
      <c r="H18" s="107">
        <f>'ATGL_Finanacial Ratios'!H36</f>
        <v>0.17375042502550153</v>
      </c>
      <c r="I18" s="107">
        <f>'ATGL_Finanacial Ratios'!I36</f>
        <v>0.33547486033519552</v>
      </c>
      <c r="J18" s="107">
        <f>'ATGL_Finanacial Ratios'!J36</f>
        <v>0.45614452103636793</v>
      </c>
    </row>
    <row r="19" spans="2:10" ht="34.200000000000003" customHeight="1" x14ac:dyDescent="0.3">
      <c r="B19" s="109" t="str">
        <f>'ATGL_Finanacial Ratios'!B39</f>
        <v>DEBT CAPITAL RATIO=DEBT /(DEBT+EQUITY)</v>
      </c>
      <c r="C19" s="107">
        <f>'ATGL_Finanacial Ratios'!C39</f>
        <v>0.64356029532403614</v>
      </c>
      <c r="D19" s="107">
        <f>'ATGL_Finanacial Ratios'!D39</f>
        <v>0.29177377892030848</v>
      </c>
      <c r="E19" s="107">
        <f>'ATGL_Finanacial Ratios'!E39</f>
        <v>0.21962864721485412</v>
      </c>
      <c r="F19" s="107">
        <f>'ATGL_Finanacial Ratios'!F39</f>
        <v>0.19282136894824708</v>
      </c>
      <c r="G19" s="107">
        <f>'ATGL_Finanacial Ratios'!G39</f>
        <v>0.18129447644866148</v>
      </c>
      <c r="H19" s="107">
        <f>'ATGL_Finanacial Ratios'!H39</f>
        <v>0.14803012746234068</v>
      </c>
      <c r="I19" s="107">
        <f>'ATGL_Finanacial Ratios'!I39</f>
        <v>0.25120267726417067</v>
      </c>
      <c r="J19" s="107">
        <f>'ATGL_Finanacial Ratios'!J39</f>
        <v>0.31325497877897485</v>
      </c>
    </row>
    <row r="20" spans="2:10" ht="34.200000000000003" customHeight="1" x14ac:dyDescent="0.3">
      <c r="B20" s="109" t="str">
        <f>'ATGL_Finanacial Ratios'!B41</f>
        <v>INTEREST COVERAGE RATIO= EBIT/INT PAID</v>
      </c>
      <c r="C20" s="107">
        <f>'ATGL_Finanacial Ratios'!C41</f>
        <v>2.4319199999999999</v>
      </c>
      <c r="D20" s="107">
        <f>'ATGL_Finanacial Ratios'!D41</f>
        <v>4.3148580968280479</v>
      </c>
      <c r="E20" s="107">
        <f>'ATGL_Finanacial Ratios'!E41</f>
        <v>13.259439707673568</v>
      </c>
      <c r="F20" s="107">
        <f>'ATGL_Finanacial Ratios'!F41</f>
        <v>15.846837944664033</v>
      </c>
      <c r="G20" s="107">
        <f>'ATGL_Finanacial Ratios'!G41</f>
        <v>13.090650483595677</v>
      </c>
      <c r="H20" s="107">
        <f>'ATGL_Finanacial Ratios'!H41</f>
        <v>9.6519189085808996</v>
      </c>
      <c r="I20" s="107">
        <f>'ATGL_Finanacial Ratios'!I41</f>
        <v>8.5225225225225234</v>
      </c>
      <c r="J20" s="107">
        <f>'ATGL_Finanacial Ratios'!J41</f>
        <v>9.1980198019801982</v>
      </c>
    </row>
    <row r="21" spans="2:10" ht="34.200000000000003" customHeight="1" x14ac:dyDescent="0.3">
      <c r="B21" s="109" t="str">
        <f>'ATGL_Finanacial Ratios'!B44</f>
        <v>PROPRIETARY RATIO=EQ SH FUNDS/TOTAL CPL</v>
      </c>
      <c r="C21" s="107">
        <f>'ATGL_Finanacial Ratios'!C44</f>
        <v>0.35643970467596392</v>
      </c>
      <c r="D21" s="107">
        <f>'ATGL_Finanacial Ratios'!D44</f>
        <v>0.70822622107969146</v>
      </c>
      <c r="E21" s="107">
        <f>'ATGL_Finanacial Ratios'!E44</f>
        <v>0.78037135278514591</v>
      </c>
      <c r="F21" s="107">
        <f>'ATGL_Finanacial Ratios'!F44</f>
        <v>0.80717863105175292</v>
      </c>
      <c r="G21" s="107">
        <f>'ATGL_Finanacial Ratios'!G44</f>
        <v>0.81870552355133852</v>
      </c>
      <c r="H21" s="107">
        <f>'ATGL_Finanacial Ratios'!H44</f>
        <v>0.85196987253765932</v>
      </c>
      <c r="I21" s="107">
        <f>'ATGL_Finanacial Ratios'!I44</f>
        <v>0.74879732273582933</v>
      </c>
      <c r="J21" s="107">
        <f>'ATGL_Finanacial Ratios'!J44</f>
        <v>0.6867450212210251</v>
      </c>
    </row>
    <row r="24" spans="2:10" x14ac:dyDescent="0.3">
      <c r="B24" s="109" t="s">
        <v>21</v>
      </c>
      <c r="C24" s="106" t="s">
        <v>86</v>
      </c>
      <c r="D24" s="106" t="s">
        <v>87</v>
      </c>
      <c r="E24" s="106" t="s">
        <v>88</v>
      </c>
      <c r="F24" s="106" t="s">
        <v>89</v>
      </c>
      <c r="G24" s="106" t="s">
        <v>90</v>
      </c>
      <c r="H24" s="106" t="s">
        <v>91</v>
      </c>
      <c r="I24" s="106" t="s">
        <v>92</v>
      </c>
      <c r="J24" s="106" t="s">
        <v>93</v>
      </c>
    </row>
    <row r="25" spans="2:10" ht="34.200000000000003" customHeight="1" x14ac:dyDescent="0.3">
      <c r="B25" s="109" t="str">
        <f>'ATGL_Finanacial Ratios'!B47</f>
        <v>Debtors Turnover Ratio = Net Credit Sales/Average Debtors</v>
      </c>
      <c r="C25" s="105">
        <f>'ATGL_Finanacial Ratios'!C47</f>
        <v>12.279369051342776</v>
      </c>
      <c r="D25" s="105">
        <f>'ATGL_Finanacial Ratios'!D47</f>
        <v>23.8816337871631</v>
      </c>
      <c r="E25" s="105">
        <f>'ATGL_Finanacial Ratios'!E47</f>
        <v>22.703880850033297</v>
      </c>
      <c r="F25" s="105">
        <f>'ATGL_Finanacial Ratios'!F47</f>
        <v>11.656357388316151</v>
      </c>
      <c r="G25" s="105">
        <f>'ATGL_Finanacial Ratios'!G47</f>
        <v>12.079522862823062</v>
      </c>
      <c r="H25" s="105">
        <f>'ATGL_Finanacial Ratios'!H47</f>
        <v>12.060606060606061</v>
      </c>
      <c r="I25" s="105">
        <f>'ATGL_Finanacial Ratios'!I47</f>
        <v>10.731414868105515</v>
      </c>
      <c r="J25" s="105">
        <f>'ATGL_Finanacial Ratios'!J47</f>
        <v>11.123470522803114</v>
      </c>
    </row>
    <row r="26" spans="2:10" ht="34.200000000000003" customHeight="1" x14ac:dyDescent="0.3">
      <c r="B26" s="109" t="str">
        <f>'ATGL_Finanacial Ratios'!B51</f>
        <v>Creditors Turnover Ratio = NetCredit Purchases/Average Payables</v>
      </c>
      <c r="C26" s="105">
        <f>'ATGL_Finanacial Ratios'!C51</f>
        <v>7.2418257261410783</v>
      </c>
      <c r="D26" s="105">
        <f>'ATGL_Finanacial Ratios'!D51</f>
        <v>11.70826858153368</v>
      </c>
      <c r="E26" s="105">
        <f>'ATGL_Finanacial Ratios'!E51</f>
        <v>10.677609385227328</v>
      </c>
      <c r="F26" s="105">
        <f>'ATGL_Finanacial Ratios'!F51</f>
        <v>5.4604255319148933</v>
      </c>
      <c r="G26" s="105">
        <f>'ATGL_Finanacial Ratios'!G51</f>
        <v>8.1612262156448203</v>
      </c>
      <c r="H26" s="105">
        <f>'ATGL_Finanacial Ratios'!H51</f>
        <v>9.6893249607535328</v>
      </c>
      <c r="I26" s="105">
        <f>'ATGL_Finanacial Ratios'!I51</f>
        <v>8.8430434782608689</v>
      </c>
      <c r="J26" s="105">
        <f>'ATGL_Finanacial Ratios'!J51</f>
        <v>11.096610169491525</v>
      </c>
    </row>
    <row r="27" spans="2:10" ht="34.200000000000003" customHeight="1" x14ac:dyDescent="0.3">
      <c r="B27" s="109" t="str">
        <f>'ATGL_Finanacial Ratios'!B56</f>
        <v>Float</v>
      </c>
      <c r="C27" s="105">
        <f>'ATGL_Finanacial Ratios'!C56</f>
        <v>-20.677000454776195</v>
      </c>
      <c r="D27" s="105">
        <f>'ATGL_Finanacial Ratios'!D56</f>
        <v>-15.890838171865154</v>
      </c>
      <c r="E27" s="105">
        <f>'ATGL_Finanacial Ratios'!E56</f>
        <v>-18.107134982615644</v>
      </c>
      <c r="F27" s="105">
        <f>'ATGL_Finanacial Ratios'!F56</f>
        <v>-35.531222797957938</v>
      </c>
      <c r="G27" s="105">
        <f>'ATGL_Finanacial Ratios'!G56</f>
        <v>-14.507246182754642</v>
      </c>
      <c r="H27" s="105">
        <f>'ATGL_Finanacial Ratios'!H56</f>
        <v>-7.4065038092065905</v>
      </c>
      <c r="I27" s="105">
        <f>'ATGL_Finanacial Ratios'!I56</f>
        <v>-7.2630917677214768</v>
      </c>
      <c r="J27" s="105">
        <f>'ATGL_Finanacial Ratios'!J56</f>
        <v>-7.9428058652815992E-2</v>
      </c>
    </row>
    <row r="28" spans="2:10" ht="34.200000000000003" customHeight="1" x14ac:dyDescent="0.3">
      <c r="B28" s="109" t="str">
        <f>'ATGL_Finanacial Ratios'!B58</f>
        <v>Inventory Turnover Ratio = COGS/Average Inventory at Cost</v>
      </c>
      <c r="C28" s="105">
        <f>'ATGL_Finanacial Ratios'!C58</f>
        <v>22.552949372967948</v>
      </c>
      <c r="D28" s="105">
        <f>'ATGL_Finanacial Ratios'!D58</f>
        <v>28.237860661505984</v>
      </c>
      <c r="E28" s="105">
        <f>'ATGL_Finanacial Ratios'!E58</f>
        <v>25.492873218304577</v>
      </c>
      <c r="F28" s="105">
        <f>'ATGL_Finanacial Ratios'!F58</f>
        <v>14.353443590340865</v>
      </c>
      <c r="G28" s="105">
        <f>'ATGL_Finanacial Ratios'!G58</f>
        <v>25.922260641468938</v>
      </c>
      <c r="H28" s="105">
        <f>'ATGL_Finanacial Ratios'!H58</f>
        <v>35.92300005259559</v>
      </c>
      <c r="I28" s="105">
        <f>'ATGL_Finanacial Ratios'!I58</f>
        <v>30.028721476042197</v>
      </c>
      <c r="J28" s="105">
        <f>'ATGL_Finanacial Ratios'!J58</f>
        <v>33.361981981981984</v>
      </c>
    </row>
    <row r="29" spans="2:10" ht="34.200000000000003" customHeight="1" x14ac:dyDescent="0.3">
      <c r="B29" s="109" t="str">
        <f>'ATGL_Finanacial Ratios'!B61</f>
        <v>Working Capital Turnover Ratio = COGS/Net WorkingCapital</v>
      </c>
      <c r="C29" s="105">
        <f>'ATGL_Finanacial Ratios'!C61</f>
        <v>3.3837282229965151</v>
      </c>
      <c r="D29" s="105">
        <f>'ATGL_Finanacial Ratios'!D61</f>
        <v>6.6141758241758239</v>
      </c>
      <c r="E29" s="105">
        <f>'ATGL_Finanacial Ratios'!E61</f>
        <v>-36.041515151515156</v>
      </c>
      <c r="F29" s="105">
        <f>'ATGL_Finanacial Ratios'!F61</f>
        <v>-1.579982905982906</v>
      </c>
      <c r="G29" s="105">
        <f>'ATGL_Finanacial Ratios'!G61</f>
        <v>-1.9728675136116152</v>
      </c>
      <c r="H29" s="105">
        <f>'ATGL_Finanacial Ratios'!H61</f>
        <v>-2.5580674157303371</v>
      </c>
      <c r="I29" s="105">
        <f>'ATGL_Finanacial Ratios'!I61</f>
        <v>-4.1471630295250321</v>
      </c>
      <c r="J29" s="105">
        <f>'ATGL_Finanacial Ratios'!J61</f>
        <v>-8.8805275779376487</v>
      </c>
    </row>
    <row r="30" spans="2:10" ht="34.200000000000003" customHeight="1" x14ac:dyDescent="0.3">
      <c r="B30" s="109" t="str">
        <f>'ATGL_Finanacial Ratios'!B64</f>
        <v>Fixed Asset Turnover Ratio = Revenue from operations/Net Fixed Assets</v>
      </c>
      <c r="C30" s="105">
        <f>'ATGL_Finanacial Ratios'!C64</f>
        <v>1.3753753753753755</v>
      </c>
      <c r="D30" s="105">
        <f>'ATGL_Finanacial Ratios'!D64</f>
        <v>1.4692307692307693</v>
      </c>
      <c r="E30" s="105">
        <f>'ATGL_Finanacial Ratios'!E64</f>
        <v>1.2175324675324675</v>
      </c>
      <c r="F30" s="105">
        <f>'ATGL_Finanacial Ratios'!F64</f>
        <v>0.8173493975903614</v>
      </c>
      <c r="G30" s="105">
        <f>'ATGL_Finanacial Ratios'!G64</f>
        <v>1.0461432506887052</v>
      </c>
      <c r="H30" s="105">
        <f>'ATGL_Finanacial Ratios'!H64</f>
        <v>1.107233181588265</v>
      </c>
      <c r="I30" s="105">
        <f>'ATGL_Finanacial Ratios'!I64</f>
        <v>0.95701454234388361</v>
      </c>
      <c r="J30" s="105">
        <f>'ATGL_Finanacial Ratios'!J64</f>
        <v>0.90530508781459351</v>
      </c>
    </row>
    <row r="33" spans="2:12" x14ac:dyDescent="0.3">
      <c r="B33" s="3" t="s">
        <v>174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</row>
    <row r="34" spans="2:12" ht="34.200000000000003" customHeight="1" x14ac:dyDescent="0.3">
      <c r="B34" s="3" t="str">
        <f>'ATGL_Finanacial Ratios'!B68</f>
        <v>PRICE EARNINGS RATIO=MPS/EPS</v>
      </c>
      <c r="C34" s="108">
        <f>'ATGL_Finanacial Ratios'!C68</f>
        <v>159.9111111111111</v>
      </c>
      <c r="D34" s="108">
        <f>'ATGL_Finanacial Ratios'!D68</f>
        <v>78.152838427947586</v>
      </c>
      <c r="E34" s="108">
        <f>'ATGL_Finanacial Ratios'!E68</f>
        <v>94.761467889908261</v>
      </c>
      <c r="F34" s="108">
        <f>'ATGL_Finanacial Ratios'!F68</f>
        <v>409.06695464362849</v>
      </c>
      <c r="G34" s="108">
        <f>'ATGL_Finanacial Ratios'!G68</f>
        <v>798.06188605108059</v>
      </c>
      <c r="H34" s="108">
        <f>'ATGL_Finanacial Ratios'!H68</f>
        <v>199.03754578754578</v>
      </c>
      <c r="I34" s="108">
        <f>'ATGL_Finanacial Ratios'!I68</f>
        <v>125.32260479041916</v>
      </c>
      <c r="J34" s="108">
        <f>'ATGL_Finanacial Ratios'!J68</f>
        <v>95.316513761467903</v>
      </c>
    </row>
    <row r="35" spans="2:12" ht="34.200000000000003" customHeight="1" x14ac:dyDescent="0.3">
      <c r="B35" s="3" t="str">
        <f>'ATGL_Finanacial Ratios'!B71</f>
        <v>PRICE BOOK RATIO=MPS/BVPS</v>
      </c>
      <c r="C35" s="108">
        <f>'ATGL_Finanacial Ratios'!C71</f>
        <v>29.810817031070194</v>
      </c>
      <c r="D35" s="108">
        <f>'ATGL_Finanacial Ratios'!D71</f>
        <v>16.240471869328495</v>
      </c>
      <c r="E35" s="108">
        <f>'ATGL_Finanacial Ratios'!E71</f>
        <v>28.087015635622027</v>
      </c>
      <c r="F35" s="108">
        <f>'ATGL_Finanacial Ratios'!F71</f>
        <v>97.930713547052733</v>
      </c>
      <c r="G35" s="108">
        <f>'ATGL_Finanacial Ratios'!G71</f>
        <v>168.13472682119203</v>
      </c>
      <c r="H35" s="108">
        <f>'ATGL_Finanacial Ratios'!H71</f>
        <v>36.951547092825571</v>
      </c>
      <c r="I35" s="108">
        <f>'ATGL_Finanacial Ratios'!I71</f>
        <v>23.384217877094969</v>
      </c>
      <c r="J35" s="108">
        <f>'ATGL_Finanacial Ratios'!J71</f>
        <v>14.817447111956266</v>
      </c>
    </row>
    <row r="40" spans="2:12" x14ac:dyDescent="0.3">
      <c r="B40" s="106" t="s">
        <v>175</v>
      </c>
      <c r="C40" s="112" t="s">
        <v>86</v>
      </c>
      <c r="D40" s="112" t="s">
        <v>87</v>
      </c>
      <c r="E40" s="112" t="s">
        <v>88</v>
      </c>
      <c r="F40" s="112" t="s">
        <v>89</v>
      </c>
      <c r="G40" s="112" t="s">
        <v>90</v>
      </c>
      <c r="H40" s="112" t="s">
        <v>91</v>
      </c>
      <c r="I40" s="112" t="s">
        <v>92</v>
      </c>
      <c r="J40" s="113" t="s">
        <v>93</v>
      </c>
    </row>
    <row r="41" spans="2:12" x14ac:dyDescent="0.3">
      <c r="B41" s="2" t="s">
        <v>160</v>
      </c>
      <c r="C41" s="2">
        <v>651</v>
      </c>
      <c r="D41" s="2">
        <v>674</v>
      </c>
      <c r="E41" s="2">
        <v>558</v>
      </c>
      <c r="F41" s="2">
        <v>223</v>
      </c>
      <c r="G41" s="2">
        <v>362</v>
      </c>
      <c r="H41" s="2">
        <v>858</v>
      </c>
      <c r="I41" s="5">
        <v>1032</v>
      </c>
      <c r="J41" s="5">
        <v>1121</v>
      </c>
      <c r="L41" s="5">
        <v>1253</v>
      </c>
    </row>
    <row r="42" spans="2:12" x14ac:dyDescent="0.3">
      <c r="B42" s="2" t="s">
        <v>164</v>
      </c>
      <c r="C42" s="2">
        <v>364</v>
      </c>
      <c r="D42" s="2">
        <v>492</v>
      </c>
      <c r="E42" s="2">
        <v>591</v>
      </c>
      <c r="F42" s="2">
        <v>808</v>
      </c>
      <c r="G42" s="5">
        <v>1464</v>
      </c>
      <c r="H42" s="5">
        <v>2193</v>
      </c>
      <c r="I42" s="5">
        <v>1811</v>
      </c>
      <c r="J42" s="5">
        <v>1538</v>
      </c>
    </row>
    <row r="43" spans="2:12" x14ac:dyDescent="0.3">
      <c r="K43" s="5"/>
    </row>
  </sheetData>
  <phoneticPr fontId="17" type="noConversion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CF38-9176-44FA-B673-618AD6A330CF}">
  <dimension ref="B2:L86"/>
  <sheetViews>
    <sheetView showGridLines="0" workbookViewId="0">
      <selection activeCell="I12" sqref="I12"/>
    </sheetView>
  </sheetViews>
  <sheetFormatPr defaultRowHeight="14.4" x14ac:dyDescent="0.3"/>
  <cols>
    <col min="1" max="1" width="8.88671875" style="1"/>
    <col min="2" max="2" width="27.33203125" style="3" bestFit="1" customWidth="1"/>
    <col min="3" max="3" width="3.88671875" style="1" customWidth="1"/>
    <col min="4" max="16384" width="8.88671875" style="1"/>
  </cols>
  <sheetData>
    <row r="2" spans="2:12" x14ac:dyDescent="0.3">
      <c r="B2" s="4" t="s">
        <v>171</v>
      </c>
      <c r="C2" s="2"/>
      <c r="D2" s="98" t="s">
        <v>172</v>
      </c>
    </row>
    <row r="3" spans="2:12" x14ac:dyDescent="0.3">
      <c r="B3" s="3" t="s">
        <v>176</v>
      </c>
      <c r="D3" s="114">
        <v>46027</v>
      </c>
    </row>
    <row r="4" spans="2:12" x14ac:dyDescent="0.3">
      <c r="B4" s="4" t="s">
        <v>109</v>
      </c>
    </row>
    <row r="5" spans="2:12" x14ac:dyDescent="0.3">
      <c r="B5" s="4" t="s">
        <v>79</v>
      </c>
    </row>
    <row r="6" spans="2:12" x14ac:dyDescent="0.3">
      <c r="B6" s="3" t="s">
        <v>80</v>
      </c>
    </row>
    <row r="7" spans="2:12" x14ac:dyDescent="0.3">
      <c r="B7" s="3" t="s">
        <v>152</v>
      </c>
    </row>
    <row r="8" spans="2:12" x14ac:dyDescent="0.3">
      <c r="B8" s="4" t="s">
        <v>81</v>
      </c>
    </row>
    <row r="9" spans="2:12" x14ac:dyDescent="0.3">
      <c r="B9" s="3" t="s">
        <v>82</v>
      </c>
    </row>
    <row r="10" spans="2:12" x14ac:dyDescent="0.3">
      <c r="B10" s="3" t="s">
        <v>83</v>
      </c>
    </row>
    <row r="12" spans="2:12" x14ac:dyDescent="0.3">
      <c r="B12" s="3" t="s">
        <v>84</v>
      </c>
    </row>
    <row r="13" spans="2:12" x14ac:dyDescent="0.3">
      <c r="B13" s="3" t="s">
        <v>153</v>
      </c>
    </row>
    <row r="14" spans="2:12" x14ac:dyDescent="0.3">
      <c r="B14" s="3" t="s">
        <v>154</v>
      </c>
    </row>
    <row r="15" spans="2:12" x14ac:dyDescent="0.3">
      <c r="B15" s="3" t="s">
        <v>155</v>
      </c>
    </row>
    <row r="16" spans="2:12" x14ac:dyDescent="0.3">
      <c r="D16" s="2" t="s">
        <v>86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91</v>
      </c>
      <c r="J16" s="2" t="s">
        <v>92</v>
      </c>
      <c r="K16" s="2" t="s">
        <v>93</v>
      </c>
      <c r="L16" s="2" t="s">
        <v>94</v>
      </c>
    </row>
    <row r="17" spans="2:12" x14ac:dyDescent="0.3">
      <c r="B17" s="4" t="s">
        <v>85</v>
      </c>
      <c r="C17" s="2"/>
      <c r="D17" s="8">
        <v>2803</v>
      </c>
      <c r="E17" s="5">
        <v>2048</v>
      </c>
      <c r="F17" s="5">
        <v>2476</v>
      </c>
      <c r="G17" s="5">
        <v>3204</v>
      </c>
      <c r="H17" s="5">
        <v>4415</v>
      </c>
      <c r="I17" s="5">
        <v>5645</v>
      </c>
      <c r="J17" s="5">
        <v>6592</v>
      </c>
      <c r="K17" s="5">
        <v>7665</v>
      </c>
      <c r="L17" s="5">
        <v>8743</v>
      </c>
    </row>
    <row r="18" spans="2:12" x14ac:dyDescent="0.3">
      <c r="B18" s="4" t="s">
        <v>158</v>
      </c>
      <c r="C18" s="2"/>
    </row>
    <row r="19" spans="2:12" x14ac:dyDescent="0.3">
      <c r="D19" s="8">
        <v>2052</v>
      </c>
      <c r="E19" s="5">
        <v>1273</v>
      </c>
      <c r="F19" s="5">
        <v>1828</v>
      </c>
      <c r="G19" s="5">
        <v>2870</v>
      </c>
      <c r="H19" s="5">
        <v>3917</v>
      </c>
      <c r="I19" s="5">
        <v>4612</v>
      </c>
      <c r="J19" s="5">
        <v>5335</v>
      </c>
      <c r="K19" s="5">
        <v>6270</v>
      </c>
      <c r="L19" s="5">
        <v>7490</v>
      </c>
    </row>
    <row r="20" spans="2:12" x14ac:dyDescent="0.3">
      <c r="B20" s="4" t="s">
        <v>159</v>
      </c>
      <c r="C20" s="2"/>
    </row>
    <row r="21" spans="2:12" x14ac:dyDescent="0.3">
      <c r="D21" s="7">
        <v>1065</v>
      </c>
      <c r="E21" s="6">
        <v>1214</v>
      </c>
      <c r="F21" s="6">
        <v>1483</v>
      </c>
      <c r="G21" s="6">
        <v>1728</v>
      </c>
      <c r="H21" s="6">
        <v>2163</v>
      </c>
      <c r="I21" s="6">
        <v>2878</v>
      </c>
      <c r="J21" s="6">
        <v>3875</v>
      </c>
      <c r="K21" s="6">
        <v>4553</v>
      </c>
      <c r="L21" s="1" t="s">
        <v>96</v>
      </c>
    </row>
    <row r="22" spans="2:12" x14ac:dyDescent="0.3">
      <c r="B22" s="3" t="s">
        <v>140</v>
      </c>
    </row>
    <row r="23" spans="2:12" x14ac:dyDescent="0.3">
      <c r="D23" s="3">
        <v>168</v>
      </c>
      <c r="E23" s="1">
        <v>234</v>
      </c>
      <c r="F23" s="1">
        <v>285</v>
      </c>
      <c r="G23" s="1">
        <v>348</v>
      </c>
      <c r="H23" s="1">
        <v>430</v>
      </c>
      <c r="I23" s="1">
        <v>544</v>
      </c>
      <c r="J23" s="1">
        <v>701</v>
      </c>
      <c r="K23" s="1">
        <v>902</v>
      </c>
      <c r="L23" s="1" t="s">
        <v>96</v>
      </c>
    </row>
    <row r="24" spans="2:12" x14ac:dyDescent="0.3">
      <c r="B24" s="3" t="s">
        <v>141</v>
      </c>
    </row>
    <row r="25" spans="2:12" x14ac:dyDescent="0.3">
      <c r="D25" s="3" t="s">
        <v>96</v>
      </c>
      <c r="E25" s="1" t="s">
        <v>96</v>
      </c>
      <c r="F25" s="1" t="s">
        <v>96</v>
      </c>
      <c r="G25" s="1" t="s">
        <v>96</v>
      </c>
      <c r="H25" s="1" t="s">
        <v>96</v>
      </c>
      <c r="I25" s="1" t="s">
        <v>96</v>
      </c>
      <c r="J25" s="1" t="s">
        <v>96</v>
      </c>
      <c r="K25" s="1" t="s">
        <v>96</v>
      </c>
      <c r="L25" s="1" t="s">
        <v>96</v>
      </c>
    </row>
    <row r="26" spans="2:12" x14ac:dyDescent="0.3">
      <c r="B26" s="3" t="s">
        <v>142</v>
      </c>
    </row>
    <row r="27" spans="2:12" x14ac:dyDescent="0.3">
      <c r="D27" s="3">
        <v>897</v>
      </c>
      <c r="E27" s="1">
        <v>980</v>
      </c>
      <c r="F27" s="6">
        <v>1198</v>
      </c>
      <c r="G27" s="6">
        <v>1379</v>
      </c>
      <c r="H27" s="6">
        <v>1733</v>
      </c>
      <c r="I27" s="6">
        <v>2335</v>
      </c>
      <c r="J27" s="6">
        <v>3174</v>
      </c>
      <c r="K27" s="6">
        <v>3651</v>
      </c>
      <c r="L27" s="6">
        <v>3823</v>
      </c>
    </row>
    <row r="28" spans="2:12" x14ac:dyDescent="0.3">
      <c r="B28" s="3" t="s">
        <v>110</v>
      </c>
    </row>
    <row r="29" spans="2:12" x14ac:dyDescent="0.3">
      <c r="D29" s="3" t="s">
        <v>96</v>
      </c>
      <c r="E29" s="1" t="s">
        <v>96</v>
      </c>
      <c r="F29" s="1" t="s">
        <v>96</v>
      </c>
      <c r="G29" s="1" t="s">
        <v>96</v>
      </c>
      <c r="H29" s="1" t="s">
        <v>96</v>
      </c>
      <c r="I29" s="1" t="s">
        <v>96</v>
      </c>
      <c r="J29" s="1" t="s">
        <v>96</v>
      </c>
      <c r="K29" s="1" t="s">
        <v>96</v>
      </c>
      <c r="L29" s="1" t="s">
        <v>96</v>
      </c>
    </row>
    <row r="30" spans="2:12" x14ac:dyDescent="0.3">
      <c r="B30" s="3" t="s">
        <v>143</v>
      </c>
    </row>
    <row r="31" spans="2:12" x14ac:dyDescent="0.3">
      <c r="D31" s="3">
        <v>102</v>
      </c>
      <c r="E31" s="1">
        <v>190</v>
      </c>
      <c r="F31" s="1">
        <v>342</v>
      </c>
      <c r="G31" s="1">
        <v>696</v>
      </c>
      <c r="H31" s="6">
        <v>1171</v>
      </c>
      <c r="I31" s="6">
        <v>1619</v>
      </c>
      <c r="J31" s="6">
        <v>1502</v>
      </c>
      <c r="K31" s="6">
        <v>1872</v>
      </c>
      <c r="L31" s="6">
        <v>1834</v>
      </c>
    </row>
    <row r="32" spans="2:12" x14ac:dyDescent="0.3">
      <c r="B32" s="3" t="s">
        <v>111</v>
      </c>
    </row>
    <row r="33" spans="2:12" x14ac:dyDescent="0.3">
      <c r="D33" s="3">
        <v>114</v>
      </c>
      <c r="E33" s="1">
        <v>176</v>
      </c>
      <c r="F33" s="1">
        <v>282</v>
      </c>
      <c r="G33" s="1">
        <v>417</v>
      </c>
      <c r="H33" s="1">
        <v>634</v>
      </c>
      <c r="I33" s="1">
        <v>682</v>
      </c>
      <c r="J33" s="1">
        <v>706</v>
      </c>
      <c r="K33" s="1">
        <v>783</v>
      </c>
      <c r="L33" s="1">
        <v>595</v>
      </c>
    </row>
    <row r="34" spans="2:12" x14ac:dyDescent="0.3">
      <c r="B34" s="3" t="s">
        <v>112</v>
      </c>
    </row>
    <row r="35" spans="2:12" x14ac:dyDescent="0.3">
      <c r="D35" s="7">
        <v>1037</v>
      </c>
      <c r="E35" s="1">
        <v>25.96</v>
      </c>
      <c r="F35" s="1">
        <v>96.62</v>
      </c>
      <c r="G35" s="1">
        <v>447</v>
      </c>
      <c r="H35" s="1">
        <v>476</v>
      </c>
      <c r="I35" s="1">
        <v>151</v>
      </c>
      <c r="J35" s="1">
        <v>177</v>
      </c>
      <c r="K35" s="1">
        <v>238</v>
      </c>
      <c r="L35" s="1" t="s">
        <v>96</v>
      </c>
    </row>
    <row r="36" spans="2:12" x14ac:dyDescent="0.3">
      <c r="B36" s="3" t="s">
        <v>144</v>
      </c>
    </row>
    <row r="37" spans="2:12" x14ac:dyDescent="0.3">
      <c r="D37" s="3">
        <v>1.82</v>
      </c>
      <c r="E37" s="1">
        <v>1.97</v>
      </c>
      <c r="F37" s="1">
        <v>0</v>
      </c>
      <c r="G37" s="1">
        <v>40</v>
      </c>
      <c r="H37" s="1">
        <v>40</v>
      </c>
      <c r="I37" s="1" t="s">
        <v>96</v>
      </c>
      <c r="J37" s="1">
        <v>0</v>
      </c>
      <c r="K37" s="1" t="s">
        <v>96</v>
      </c>
      <c r="L37" s="1">
        <v>363</v>
      </c>
    </row>
    <row r="38" spans="2:12" x14ac:dyDescent="0.3">
      <c r="B38" s="3" t="s">
        <v>145</v>
      </c>
    </row>
    <row r="39" spans="2:12" x14ac:dyDescent="0.3">
      <c r="D39" s="4">
        <v>651</v>
      </c>
      <c r="E39" s="2">
        <v>674</v>
      </c>
      <c r="F39" s="2">
        <v>558</v>
      </c>
      <c r="G39" s="2">
        <v>223</v>
      </c>
      <c r="H39" s="2">
        <v>362</v>
      </c>
      <c r="I39" s="2">
        <v>858</v>
      </c>
      <c r="J39" s="5">
        <v>1032</v>
      </c>
      <c r="K39" s="5">
        <v>1121</v>
      </c>
      <c r="L39" s="5">
        <v>1253</v>
      </c>
    </row>
    <row r="40" spans="2:12" x14ac:dyDescent="0.3">
      <c r="B40" s="4" t="s">
        <v>160</v>
      </c>
      <c r="C40" s="2"/>
    </row>
    <row r="41" spans="2:12" x14ac:dyDescent="0.3">
      <c r="D41" s="3">
        <v>42.16</v>
      </c>
      <c r="E41" s="1">
        <v>43.96</v>
      </c>
      <c r="F41" s="1">
        <v>41.3</v>
      </c>
      <c r="G41" s="1">
        <v>52.01</v>
      </c>
      <c r="H41" s="1">
        <v>76.78</v>
      </c>
      <c r="I41" s="1">
        <v>90.96</v>
      </c>
      <c r="J41" s="1">
        <v>99.17</v>
      </c>
      <c r="K41" s="1">
        <v>116</v>
      </c>
      <c r="L41" s="1">
        <v>106</v>
      </c>
    </row>
    <row r="42" spans="2:12" x14ac:dyDescent="0.3">
      <c r="B42" s="3" t="s">
        <v>113</v>
      </c>
    </row>
    <row r="43" spans="2:12" x14ac:dyDescent="0.3">
      <c r="D43" s="3">
        <v>141</v>
      </c>
      <c r="E43" s="1">
        <v>82.79</v>
      </c>
      <c r="F43" s="1">
        <v>61.17</v>
      </c>
      <c r="G43" s="1">
        <v>104</v>
      </c>
      <c r="H43" s="1">
        <v>187</v>
      </c>
      <c r="I43" s="1">
        <v>316</v>
      </c>
      <c r="J43" s="1">
        <v>410</v>
      </c>
      <c r="K43" s="1">
        <v>424</v>
      </c>
      <c r="L43" s="1">
        <v>475</v>
      </c>
    </row>
    <row r="44" spans="2:12" x14ac:dyDescent="0.3">
      <c r="B44" s="3" t="s">
        <v>114</v>
      </c>
    </row>
    <row r="45" spans="2:12" x14ac:dyDescent="0.3">
      <c r="D45" s="3">
        <v>65.25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28.03</v>
      </c>
      <c r="L45" s="1">
        <v>90.17</v>
      </c>
    </row>
    <row r="46" spans="2:12" x14ac:dyDescent="0.3">
      <c r="B46" s="3" t="s">
        <v>115</v>
      </c>
    </row>
    <row r="47" spans="2:12" x14ac:dyDescent="0.3">
      <c r="D47" s="3">
        <v>24.48</v>
      </c>
      <c r="E47" s="1">
        <v>160</v>
      </c>
      <c r="F47" s="1">
        <v>89.47</v>
      </c>
      <c r="G47" s="1">
        <v>10.87</v>
      </c>
      <c r="H47" s="1">
        <v>34.32</v>
      </c>
      <c r="I47" s="1">
        <v>372</v>
      </c>
      <c r="J47" s="1">
        <v>456</v>
      </c>
      <c r="K47" s="1">
        <v>469</v>
      </c>
      <c r="L47" s="1">
        <v>484</v>
      </c>
    </row>
    <row r="48" spans="2:12" x14ac:dyDescent="0.3">
      <c r="B48" s="3" t="s">
        <v>116</v>
      </c>
    </row>
    <row r="49" spans="2:12" x14ac:dyDescent="0.3">
      <c r="D49" s="3">
        <v>3.98</v>
      </c>
      <c r="E49" s="1">
        <v>4.47</v>
      </c>
      <c r="F49" s="1">
        <v>26.67</v>
      </c>
      <c r="G49" s="1">
        <v>30.16</v>
      </c>
      <c r="H49" s="1">
        <v>25.06</v>
      </c>
      <c r="I49" s="1">
        <v>15.59</v>
      </c>
      <c r="J49" s="1">
        <v>35.9</v>
      </c>
      <c r="K49" s="1">
        <v>59.51</v>
      </c>
      <c r="L49" s="1">
        <v>75.97</v>
      </c>
    </row>
    <row r="50" spans="2:12" x14ac:dyDescent="0.3">
      <c r="B50" s="3" t="s">
        <v>146</v>
      </c>
    </row>
    <row r="51" spans="2:12" x14ac:dyDescent="0.3">
      <c r="D51" s="3">
        <v>374</v>
      </c>
      <c r="E51" s="1">
        <v>383</v>
      </c>
      <c r="F51" s="1">
        <v>339</v>
      </c>
      <c r="G51" s="1">
        <v>26.59</v>
      </c>
      <c r="H51" s="1">
        <v>38.979999999999997</v>
      </c>
      <c r="I51" s="1">
        <v>64.03</v>
      </c>
      <c r="J51" s="1">
        <v>31.14</v>
      </c>
      <c r="K51" s="1">
        <v>24.92</v>
      </c>
      <c r="L51" s="1">
        <v>0.25</v>
      </c>
    </row>
    <row r="52" spans="2:12" x14ac:dyDescent="0.3">
      <c r="B52" s="3" t="s">
        <v>147</v>
      </c>
    </row>
    <row r="53" spans="2:12" x14ac:dyDescent="0.3">
      <c r="D53" s="8">
        <v>2803</v>
      </c>
      <c r="E53" s="5">
        <v>2048</v>
      </c>
      <c r="F53" s="5">
        <v>2476</v>
      </c>
      <c r="G53" s="5">
        <v>3204</v>
      </c>
      <c r="H53" s="5">
        <v>4415</v>
      </c>
      <c r="I53" s="5">
        <v>5645</v>
      </c>
      <c r="J53" s="5">
        <v>6592</v>
      </c>
      <c r="K53" s="5">
        <v>7665</v>
      </c>
      <c r="L53" s="5">
        <v>8743</v>
      </c>
    </row>
    <row r="54" spans="2:12" x14ac:dyDescent="0.3">
      <c r="B54" s="4" t="s">
        <v>161</v>
      </c>
      <c r="C54" s="2"/>
    </row>
    <row r="55" spans="2:12" x14ac:dyDescent="0.3">
      <c r="D55" s="4">
        <v>869</v>
      </c>
      <c r="E55" s="5">
        <v>1102</v>
      </c>
      <c r="F55" s="5">
        <v>1471</v>
      </c>
      <c r="G55" s="5">
        <v>1934</v>
      </c>
      <c r="H55" s="5">
        <v>2416</v>
      </c>
      <c r="I55" s="5">
        <v>2941</v>
      </c>
      <c r="J55" s="5">
        <v>3580</v>
      </c>
      <c r="K55" s="5">
        <v>4207</v>
      </c>
      <c r="L55" s="5">
        <v>4509</v>
      </c>
    </row>
    <row r="56" spans="2:12" x14ac:dyDescent="0.3">
      <c r="B56" s="4" t="s">
        <v>162</v>
      </c>
      <c r="C56" s="2"/>
    </row>
    <row r="57" spans="2:12" x14ac:dyDescent="0.3">
      <c r="D57" s="3">
        <v>257</v>
      </c>
      <c r="E57" s="1">
        <v>110</v>
      </c>
      <c r="F57" s="1">
        <v>110</v>
      </c>
      <c r="G57" s="1">
        <v>110</v>
      </c>
      <c r="H57" s="1">
        <v>110</v>
      </c>
      <c r="I57" s="1">
        <v>110</v>
      </c>
      <c r="J57" s="1">
        <v>110</v>
      </c>
      <c r="K57" s="1">
        <v>110</v>
      </c>
      <c r="L57" s="1">
        <v>110</v>
      </c>
    </row>
    <row r="58" spans="2:12" x14ac:dyDescent="0.3">
      <c r="B58" s="3" t="s">
        <v>117</v>
      </c>
    </row>
    <row r="59" spans="2:12" x14ac:dyDescent="0.3">
      <c r="D59" s="3" t="s">
        <v>96</v>
      </c>
      <c r="E59" s="1" t="s">
        <v>96</v>
      </c>
      <c r="F59" s="1" t="s">
        <v>96</v>
      </c>
      <c r="G59" s="1" t="s">
        <v>96</v>
      </c>
      <c r="H59" s="1" t="s">
        <v>96</v>
      </c>
      <c r="I59" s="1" t="s">
        <v>96</v>
      </c>
      <c r="J59" s="1" t="s">
        <v>96</v>
      </c>
      <c r="K59" s="1" t="s">
        <v>96</v>
      </c>
      <c r="L59" s="1" t="s">
        <v>96</v>
      </c>
    </row>
    <row r="60" spans="2:12" x14ac:dyDescent="0.3">
      <c r="B60" s="3" t="s">
        <v>148</v>
      </c>
    </row>
    <row r="61" spans="2:12" x14ac:dyDescent="0.3">
      <c r="D61" s="3">
        <v>759</v>
      </c>
      <c r="E61" s="1">
        <v>992</v>
      </c>
      <c r="F61" s="6">
        <v>1361</v>
      </c>
      <c r="G61" s="6">
        <v>1824</v>
      </c>
      <c r="H61" s="6">
        <v>2306</v>
      </c>
      <c r="I61" s="6">
        <v>2831</v>
      </c>
      <c r="J61" s="6">
        <v>3470</v>
      </c>
      <c r="K61" s="6">
        <v>4097</v>
      </c>
      <c r="L61" s="6">
        <v>4399</v>
      </c>
    </row>
    <row r="62" spans="2:12" x14ac:dyDescent="0.3">
      <c r="B62" s="3" t="s">
        <v>118</v>
      </c>
    </row>
    <row r="63" spans="2:12" x14ac:dyDescent="0.3">
      <c r="D63" s="8">
        <v>1569</v>
      </c>
      <c r="E63" s="2">
        <v>454</v>
      </c>
      <c r="F63" s="2">
        <v>414</v>
      </c>
      <c r="G63" s="2">
        <v>462</v>
      </c>
      <c r="H63" s="2">
        <v>535</v>
      </c>
      <c r="I63" s="2">
        <v>511</v>
      </c>
      <c r="J63" s="5">
        <v>1201</v>
      </c>
      <c r="K63" s="5">
        <v>1919</v>
      </c>
      <c r="L63" s="5">
        <v>2176</v>
      </c>
    </row>
    <row r="64" spans="2:12" x14ac:dyDescent="0.3">
      <c r="B64" s="4" t="s">
        <v>163</v>
      </c>
      <c r="C64" s="2"/>
    </row>
    <row r="65" spans="2:12" x14ac:dyDescent="0.3">
      <c r="D65" s="7">
        <v>1234</v>
      </c>
      <c r="E65" s="1">
        <v>346</v>
      </c>
      <c r="F65" s="1">
        <v>298</v>
      </c>
      <c r="G65" s="1">
        <v>308</v>
      </c>
      <c r="H65" s="1">
        <v>352</v>
      </c>
      <c r="I65" s="1">
        <v>268</v>
      </c>
      <c r="J65" s="1">
        <v>883</v>
      </c>
      <c r="K65" s="6">
        <v>1540</v>
      </c>
      <c r="L65" s="1" t="s">
        <v>96</v>
      </c>
    </row>
    <row r="66" spans="2:12" x14ac:dyDescent="0.3">
      <c r="B66" s="3" t="s">
        <v>119</v>
      </c>
    </row>
    <row r="67" spans="2:12" x14ac:dyDescent="0.3">
      <c r="D67" s="3">
        <v>0.05</v>
      </c>
      <c r="E67" s="1">
        <v>0.05</v>
      </c>
      <c r="F67" s="1">
        <v>0.05</v>
      </c>
      <c r="G67" s="1">
        <v>0.05</v>
      </c>
      <c r="H67" s="1" t="s">
        <v>96</v>
      </c>
      <c r="I67" s="1" t="s">
        <v>96</v>
      </c>
      <c r="J67" s="1" t="s">
        <v>96</v>
      </c>
      <c r="K67" s="1" t="s">
        <v>96</v>
      </c>
      <c r="L67" s="6">
        <v>1359</v>
      </c>
    </row>
    <row r="68" spans="2:12" x14ac:dyDescent="0.3">
      <c r="B68" s="3" t="s">
        <v>120</v>
      </c>
    </row>
    <row r="69" spans="2:12" x14ac:dyDescent="0.3">
      <c r="D69" s="3">
        <v>99.59</v>
      </c>
      <c r="E69" s="1">
        <v>102</v>
      </c>
      <c r="F69" s="1">
        <v>90.27</v>
      </c>
      <c r="G69" s="1">
        <v>110</v>
      </c>
      <c r="H69" s="1">
        <v>137</v>
      </c>
      <c r="I69" s="1">
        <v>176</v>
      </c>
      <c r="J69" s="1">
        <v>224</v>
      </c>
      <c r="K69" s="1">
        <v>274</v>
      </c>
      <c r="L69" s="1" t="s">
        <v>96</v>
      </c>
    </row>
    <row r="70" spans="2:12" x14ac:dyDescent="0.3">
      <c r="B70" s="3" t="s">
        <v>149</v>
      </c>
    </row>
    <row r="71" spans="2:12" x14ac:dyDescent="0.3">
      <c r="D71" s="3">
        <v>233</v>
      </c>
      <c r="E71" s="1">
        <v>3.48</v>
      </c>
      <c r="F71" s="1">
        <v>22.38</v>
      </c>
      <c r="G71" s="1">
        <v>38.590000000000003</v>
      </c>
      <c r="H71" s="1">
        <v>41.1</v>
      </c>
      <c r="I71" s="1">
        <v>61.15</v>
      </c>
      <c r="J71" s="1">
        <v>86.83</v>
      </c>
      <c r="K71" s="1">
        <v>100</v>
      </c>
      <c r="L71" s="1" t="s">
        <v>96</v>
      </c>
    </row>
    <row r="72" spans="2:12" x14ac:dyDescent="0.3">
      <c r="B72" s="3" t="s">
        <v>16</v>
      </c>
    </row>
    <row r="73" spans="2:12" x14ac:dyDescent="0.3">
      <c r="D73" s="3">
        <v>2.31</v>
      </c>
      <c r="E73" s="1">
        <v>3.06</v>
      </c>
      <c r="F73" s="1">
        <v>4.1500000000000004</v>
      </c>
      <c r="G73" s="1">
        <v>4.58</v>
      </c>
      <c r="H73" s="1">
        <v>4.57</v>
      </c>
      <c r="I73" s="1">
        <v>5.7</v>
      </c>
      <c r="J73" s="1">
        <v>6.84</v>
      </c>
      <c r="K73" s="1">
        <v>5.27</v>
      </c>
      <c r="L73" s="1" t="s">
        <v>96</v>
      </c>
    </row>
    <row r="74" spans="2:12" x14ac:dyDescent="0.3">
      <c r="B74" s="3" t="s">
        <v>17</v>
      </c>
    </row>
    <row r="75" spans="2:12" x14ac:dyDescent="0.3">
      <c r="D75" s="4">
        <v>364</v>
      </c>
      <c r="E75" s="2">
        <v>492</v>
      </c>
      <c r="F75" s="2">
        <v>591</v>
      </c>
      <c r="G75" s="2">
        <v>808</v>
      </c>
      <c r="H75" s="5">
        <v>1464</v>
      </c>
      <c r="I75" s="5">
        <v>2193</v>
      </c>
      <c r="J75" s="5">
        <v>1811</v>
      </c>
      <c r="K75" s="5">
        <v>1538</v>
      </c>
      <c r="L75" s="5">
        <v>2058</v>
      </c>
    </row>
    <row r="76" spans="2:12" x14ac:dyDescent="0.3">
      <c r="B76" s="4" t="s">
        <v>164</v>
      </c>
      <c r="C76" s="2"/>
    </row>
    <row r="77" spans="2:12" x14ac:dyDescent="0.3">
      <c r="D77" s="3">
        <v>137</v>
      </c>
      <c r="E77" s="1">
        <v>104</v>
      </c>
      <c r="F77" s="1">
        <v>82.61</v>
      </c>
      <c r="G77" s="1">
        <v>116</v>
      </c>
      <c r="H77" s="1">
        <v>166</v>
      </c>
      <c r="I77" s="1">
        <v>307</v>
      </c>
      <c r="J77" s="1">
        <v>330</v>
      </c>
      <c r="K77" s="1">
        <v>314</v>
      </c>
      <c r="L77" s="1">
        <v>276</v>
      </c>
    </row>
    <row r="78" spans="2:12" x14ac:dyDescent="0.3">
      <c r="B78" s="3" t="s">
        <v>121</v>
      </c>
    </row>
    <row r="79" spans="2:12" x14ac:dyDescent="0.3">
      <c r="D79" s="3" t="s">
        <v>96</v>
      </c>
      <c r="E79" s="1" t="s">
        <v>96</v>
      </c>
      <c r="F79" s="1">
        <v>57.26</v>
      </c>
      <c r="G79" s="1">
        <v>123</v>
      </c>
      <c r="H79" s="1">
        <v>539</v>
      </c>
      <c r="I79" s="1">
        <v>767</v>
      </c>
      <c r="J79" s="1">
        <v>486</v>
      </c>
      <c r="K79" s="1">
        <v>40.98</v>
      </c>
      <c r="L79" s="1">
        <v>562</v>
      </c>
    </row>
    <row r="80" spans="2:12" x14ac:dyDescent="0.3">
      <c r="B80" s="3" t="s">
        <v>122</v>
      </c>
    </row>
    <row r="81" spans="2:12" x14ac:dyDescent="0.3">
      <c r="D81" s="4">
        <v>222</v>
      </c>
      <c r="E81" s="2">
        <v>378</v>
      </c>
      <c r="F81" s="2">
        <v>446</v>
      </c>
      <c r="G81" s="2">
        <v>564</v>
      </c>
      <c r="H81" s="2">
        <v>750</v>
      </c>
      <c r="I81" s="5">
        <v>1108</v>
      </c>
      <c r="J81" s="2">
        <v>979</v>
      </c>
      <c r="K81" s="5">
        <v>1165</v>
      </c>
      <c r="L81" s="2" t="s">
        <v>96</v>
      </c>
    </row>
    <row r="82" spans="2:12" x14ac:dyDescent="0.3">
      <c r="B82" s="4" t="s">
        <v>165</v>
      </c>
      <c r="C82" s="2"/>
    </row>
    <row r="83" spans="2:12" x14ac:dyDescent="0.3">
      <c r="D83" s="3" t="s">
        <v>96</v>
      </c>
      <c r="E83" s="1" t="s">
        <v>96</v>
      </c>
      <c r="F83" s="1" t="s">
        <v>96</v>
      </c>
      <c r="G83" s="1" t="s">
        <v>96</v>
      </c>
      <c r="H83" s="1" t="s">
        <v>96</v>
      </c>
      <c r="I83" s="1" t="s">
        <v>96</v>
      </c>
      <c r="J83" s="1" t="s">
        <v>96</v>
      </c>
      <c r="K83" s="1" t="s">
        <v>96</v>
      </c>
      <c r="L83" s="1" t="s">
        <v>96</v>
      </c>
    </row>
    <row r="84" spans="2:12" x14ac:dyDescent="0.3">
      <c r="B84" s="3" t="s">
        <v>150</v>
      </c>
    </row>
    <row r="85" spans="2:12" x14ac:dyDescent="0.3">
      <c r="D85" s="3">
        <v>5.62</v>
      </c>
      <c r="E85" s="1">
        <v>9.6</v>
      </c>
      <c r="F85" s="1">
        <v>5.09</v>
      </c>
      <c r="G85" s="1">
        <v>6.46</v>
      </c>
      <c r="H85" s="1">
        <v>9.34</v>
      </c>
      <c r="I85" s="1">
        <v>11.42</v>
      </c>
      <c r="J85" s="1">
        <v>15.38</v>
      </c>
      <c r="K85" s="1">
        <v>18.440000000000001</v>
      </c>
      <c r="L85" s="1">
        <v>19.25</v>
      </c>
    </row>
    <row r="86" spans="2:12" x14ac:dyDescent="0.3">
      <c r="B86" s="3" t="s"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45E8-3A60-461A-BC84-ABB971A331A3}">
  <dimension ref="B3:N85"/>
  <sheetViews>
    <sheetView showGridLines="0" zoomScaleNormal="100" workbookViewId="0">
      <selection activeCell="B4" sqref="B4:D4"/>
    </sheetView>
  </sheetViews>
  <sheetFormatPr defaultRowHeight="14.4" x14ac:dyDescent="0.3"/>
  <cols>
    <col min="1" max="1" width="8.88671875" style="1"/>
    <col min="2" max="2" width="36.44140625" style="3" bestFit="1" customWidth="1"/>
    <col min="3" max="3" width="4" style="1" customWidth="1"/>
    <col min="4" max="4" width="9.109375" style="1" bestFit="1" customWidth="1"/>
    <col min="5" max="16384" width="8.88671875" style="1"/>
  </cols>
  <sheetData>
    <row r="3" spans="2:4" x14ac:dyDescent="0.3">
      <c r="B3" s="4" t="s">
        <v>171</v>
      </c>
      <c r="C3" s="2"/>
      <c r="D3" s="98" t="s">
        <v>170</v>
      </c>
    </row>
    <row r="4" spans="2:4" x14ac:dyDescent="0.3">
      <c r="B4" s="3" t="s">
        <v>176</v>
      </c>
      <c r="D4" s="114">
        <v>46027</v>
      </c>
    </row>
    <row r="5" spans="2:4" x14ac:dyDescent="0.3">
      <c r="B5" s="4" t="s">
        <v>97</v>
      </c>
    </row>
    <row r="6" spans="2:4" x14ac:dyDescent="0.3">
      <c r="B6" s="4" t="s">
        <v>79</v>
      </c>
    </row>
    <row r="7" spans="2:4" x14ac:dyDescent="0.3">
      <c r="B7" s="3" t="s">
        <v>80</v>
      </c>
    </row>
    <row r="8" spans="2:4" x14ac:dyDescent="0.3">
      <c r="B8" s="3" t="s">
        <v>152</v>
      </c>
    </row>
    <row r="9" spans="2:4" x14ac:dyDescent="0.3">
      <c r="B9" s="4" t="s">
        <v>81</v>
      </c>
    </row>
    <row r="10" spans="2:4" x14ac:dyDescent="0.3">
      <c r="B10" s="3" t="s">
        <v>82</v>
      </c>
    </row>
    <row r="11" spans="2:4" x14ac:dyDescent="0.3">
      <c r="B11" s="3" t="s">
        <v>83</v>
      </c>
    </row>
    <row r="13" spans="2:4" x14ac:dyDescent="0.3">
      <c r="B13" s="3" t="s">
        <v>84</v>
      </c>
    </row>
    <row r="14" spans="2:4" x14ac:dyDescent="0.3">
      <c r="B14" s="3" t="s">
        <v>153</v>
      </c>
    </row>
    <row r="15" spans="2:4" x14ac:dyDescent="0.3">
      <c r="B15" s="3" t="s">
        <v>154</v>
      </c>
    </row>
    <row r="16" spans="2:4" x14ac:dyDescent="0.3">
      <c r="B16" s="3" t="s">
        <v>155</v>
      </c>
    </row>
    <row r="18" spans="2:12" x14ac:dyDescent="0.3">
      <c r="B18" s="4" t="s">
        <v>85</v>
      </c>
      <c r="C18" s="2"/>
      <c r="D18" s="2" t="s">
        <v>86</v>
      </c>
      <c r="E18" s="2" t="s">
        <v>87</v>
      </c>
      <c r="F18" s="2" t="s">
        <v>88</v>
      </c>
      <c r="G18" s="2" t="s">
        <v>89</v>
      </c>
      <c r="H18" s="2" t="s">
        <v>90</v>
      </c>
      <c r="I18" s="2" t="s">
        <v>91</v>
      </c>
      <c r="J18" s="2" t="s">
        <v>92</v>
      </c>
      <c r="K18" s="2" t="s">
        <v>93</v>
      </c>
      <c r="L18" s="2" t="s">
        <v>94</v>
      </c>
    </row>
    <row r="19" spans="2:12" x14ac:dyDescent="0.3">
      <c r="B19" s="3" t="s">
        <v>123</v>
      </c>
      <c r="D19" s="6">
        <v>1374</v>
      </c>
      <c r="E19" s="6">
        <v>1719</v>
      </c>
      <c r="F19" s="6">
        <v>1875</v>
      </c>
      <c r="G19" s="6">
        <v>1696</v>
      </c>
      <c r="H19" s="6">
        <v>3038</v>
      </c>
      <c r="I19" s="6">
        <v>4378</v>
      </c>
      <c r="J19" s="6">
        <v>4475</v>
      </c>
      <c r="K19" s="6">
        <v>5000</v>
      </c>
      <c r="L19" s="1">
        <v>0</v>
      </c>
    </row>
    <row r="20" spans="2:12" x14ac:dyDescent="0.3">
      <c r="D20" s="6"/>
      <c r="E20" s="6"/>
      <c r="F20" s="6"/>
      <c r="G20" s="6"/>
      <c r="H20" s="6"/>
      <c r="I20" s="6"/>
      <c r="J20" s="6"/>
      <c r="K20" s="6"/>
    </row>
    <row r="21" spans="2:12" x14ac:dyDescent="0.3">
      <c r="B21" s="3" t="s">
        <v>124</v>
      </c>
      <c r="D21" s="3">
        <v>83.99</v>
      </c>
      <c r="E21" s="1">
        <v>105</v>
      </c>
      <c r="F21" s="1">
        <v>116</v>
      </c>
      <c r="G21" s="1">
        <v>88.87</v>
      </c>
      <c r="H21" s="1">
        <v>169</v>
      </c>
      <c r="I21" s="1">
        <v>305</v>
      </c>
      <c r="J21" s="1">
        <v>342</v>
      </c>
      <c r="K21" s="1">
        <v>412</v>
      </c>
      <c r="L21" s="1">
        <v>0</v>
      </c>
    </row>
    <row r="22" spans="2:12" x14ac:dyDescent="0.3">
      <c r="D22" s="3"/>
    </row>
    <row r="23" spans="2:12" x14ac:dyDescent="0.3">
      <c r="B23" s="4" t="s">
        <v>125</v>
      </c>
      <c r="C23" s="2"/>
      <c r="D23" s="8">
        <v>1374</v>
      </c>
      <c r="E23" s="5">
        <v>1719</v>
      </c>
      <c r="F23" s="5">
        <v>1875</v>
      </c>
      <c r="G23" s="5">
        <v>1696</v>
      </c>
      <c r="H23" s="5">
        <v>3038</v>
      </c>
      <c r="I23" s="5">
        <v>4378</v>
      </c>
      <c r="J23" s="5">
        <v>4475</v>
      </c>
      <c r="K23" s="5">
        <v>5000</v>
      </c>
      <c r="L23" s="5">
        <v>5929</v>
      </c>
    </row>
    <row r="24" spans="2:12" x14ac:dyDescent="0.3">
      <c r="B24" s="4"/>
      <c r="C24" s="2"/>
      <c r="D24" s="8"/>
      <c r="E24" s="5"/>
      <c r="F24" s="5"/>
      <c r="G24" s="5"/>
      <c r="H24" s="5"/>
      <c r="I24" s="5"/>
      <c r="J24" s="5"/>
      <c r="K24" s="5"/>
      <c r="L24" s="5"/>
    </row>
    <row r="25" spans="2:12" x14ac:dyDescent="0.3">
      <c r="B25" s="4" t="s">
        <v>156</v>
      </c>
      <c r="C25" s="2"/>
      <c r="D25" s="8">
        <v>1009</v>
      </c>
      <c r="E25" s="5">
        <v>1264</v>
      </c>
      <c r="F25" s="5">
        <v>1280</v>
      </c>
      <c r="G25" s="2">
        <v>992</v>
      </c>
      <c r="H25" s="5">
        <v>2265</v>
      </c>
      <c r="I25" s="5">
        <v>3508</v>
      </c>
      <c r="J25" s="5">
        <v>3371</v>
      </c>
      <c r="K25" s="5">
        <v>3867</v>
      </c>
      <c r="L25" s="5">
        <v>4809</v>
      </c>
    </row>
    <row r="26" spans="2:12" x14ac:dyDescent="0.3">
      <c r="B26" s="4"/>
      <c r="C26" s="2"/>
      <c r="D26" s="8"/>
      <c r="E26" s="5"/>
      <c r="F26" s="5"/>
      <c r="G26" s="2"/>
      <c r="H26" s="5"/>
      <c r="I26" s="5"/>
      <c r="J26" s="5"/>
      <c r="K26" s="5"/>
      <c r="L26" s="5"/>
    </row>
    <row r="27" spans="2:12" x14ac:dyDescent="0.3">
      <c r="B27" s="3" t="s">
        <v>126</v>
      </c>
      <c r="D27" s="3">
        <v>0.64</v>
      </c>
      <c r="E27" s="1">
        <v>5.44</v>
      </c>
      <c r="F27" s="1">
        <v>0.34</v>
      </c>
      <c r="G27" s="1">
        <v>-1.08</v>
      </c>
      <c r="H27" s="1">
        <v>-8.8699999999999992</v>
      </c>
      <c r="I27" s="1">
        <v>3.05</v>
      </c>
      <c r="J27" s="1">
        <v>-0.54</v>
      </c>
      <c r="K27" s="1">
        <v>-2.5</v>
      </c>
      <c r="L27" s="1">
        <v>-2.14</v>
      </c>
    </row>
    <row r="28" spans="2:12" x14ac:dyDescent="0.3">
      <c r="D28" s="3"/>
    </row>
    <row r="29" spans="2:12" x14ac:dyDescent="0.3">
      <c r="B29" s="3" t="s">
        <v>98</v>
      </c>
      <c r="D29" s="3">
        <v>872</v>
      </c>
      <c r="E29" s="6">
        <v>1087</v>
      </c>
      <c r="F29" s="6">
        <v>1060</v>
      </c>
      <c r="G29" s="1">
        <v>771</v>
      </c>
      <c r="H29" s="6">
        <v>1939</v>
      </c>
      <c r="I29" s="6">
        <v>3083</v>
      </c>
      <c r="J29" s="6">
        <v>2848</v>
      </c>
      <c r="K29" s="6">
        <v>3276</v>
      </c>
      <c r="L29" s="6">
        <v>3720</v>
      </c>
    </row>
    <row r="30" spans="2:12" x14ac:dyDescent="0.3">
      <c r="D30" s="3"/>
      <c r="E30" s="6"/>
      <c r="F30" s="6"/>
      <c r="H30" s="6"/>
      <c r="I30" s="6"/>
      <c r="J30" s="6"/>
      <c r="K30" s="6"/>
      <c r="L30" s="6"/>
    </row>
    <row r="31" spans="2:12" x14ac:dyDescent="0.3">
      <c r="B31" s="3" t="s">
        <v>99</v>
      </c>
      <c r="D31" s="3">
        <v>63.56</v>
      </c>
      <c r="E31" s="1">
        <v>63.56</v>
      </c>
      <c r="F31" s="1">
        <v>56.55</v>
      </c>
      <c r="G31" s="1">
        <v>45.39</v>
      </c>
      <c r="H31" s="1">
        <v>63.52</v>
      </c>
      <c r="I31" s="1">
        <v>70.489999999999995</v>
      </c>
      <c r="J31" s="1">
        <v>63.64</v>
      </c>
      <c r="K31" s="1">
        <v>65.47</v>
      </c>
      <c r="L31" s="1">
        <v>62.71</v>
      </c>
    </row>
    <row r="32" spans="2:12" x14ac:dyDescent="0.3">
      <c r="D32" s="3"/>
    </row>
    <row r="33" spans="2:14" x14ac:dyDescent="0.3">
      <c r="B33" s="3" t="s">
        <v>127</v>
      </c>
      <c r="D33" s="3">
        <v>32.79</v>
      </c>
      <c r="E33" s="1">
        <v>37.049999999999997</v>
      </c>
      <c r="F33" s="1">
        <v>46.18</v>
      </c>
      <c r="G33" s="1">
        <v>75.75</v>
      </c>
      <c r="H33" s="1">
        <v>135</v>
      </c>
      <c r="I33" s="1">
        <v>190</v>
      </c>
      <c r="J33" s="1">
        <v>225</v>
      </c>
      <c r="K33" s="1">
        <v>258</v>
      </c>
      <c r="L33" s="1">
        <v>0</v>
      </c>
    </row>
    <row r="34" spans="2:14" x14ac:dyDescent="0.3">
      <c r="D34" s="3"/>
    </row>
    <row r="35" spans="2:14" x14ac:dyDescent="0.3">
      <c r="B35" s="3" t="s">
        <v>100</v>
      </c>
      <c r="D35" s="3">
        <v>38.9</v>
      </c>
      <c r="E35" s="1">
        <v>42</v>
      </c>
      <c r="F35" s="1">
        <v>47.46</v>
      </c>
      <c r="G35" s="1">
        <v>51.52</v>
      </c>
      <c r="H35" s="1">
        <v>54.73</v>
      </c>
      <c r="I35" s="1">
        <v>55.68</v>
      </c>
      <c r="J35" s="1">
        <v>66.709999999999994</v>
      </c>
      <c r="K35" s="1">
        <v>56.68</v>
      </c>
      <c r="L35" s="1">
        <v>53.69</v>
      </c>
    </row>
    <row r="36" spans="2:14" x14ac:dyDescent="0.3">
      <c r="D36" s="3"/>
    </row>
    <row r="37" spans="2:14" x14ac:dyDescent="0.3">
      <c r="B37" s="3" t="s">
        <v>128</v>
      </c>
      <c r="D37" s="3">
        <v>2.87</v>
      </c>
      <c r="E37" s="1">
        <v>9.2799999999999994</v>
      </c>
      <c r="F37" s="1">
        <v>5.04</v>
      </c>
      <c r="G37" s="1">
        <v>3.3</v>
      </c>
      <c r="H37" s="1">
        <v>9.1</v>
      </c>
      <c r="I37" s="1">
        <v>9.94</v>
      </c>
      <c r="J37" s="1">
        <v>0</v>
      </c>
      <c r="K37" s="1">
        <v>0</v>
      </c>
      <c r="L37" s="1">
        <v>0</v>
      </c>
    </row>
    <row r="38" spans="2:14" x14ac:dyDescent="0.3">
      <c r="D38" s="3"/>
      <c r="N38" s="6"/>
    </row>
    <row r="39" spans="2:14" x14ac:dyDescent="0.3">
      <c r="B39" s="3" t="s">
        <v>101</v>
      </c>
      <c r="D39" s="3">
        <v>26.8</v>
      </c>
      <c r="E39" s="1">
        <v>32.29</v>
      </c>
      <c r="F39" s="1">
        <v>35.39</v>
      </c>
      <c r="G39" s="1">
        <v>27.1</v>
      </c>
      <c r="H39" s="1">
        <v>54.24</v>
      </c>
      <c r="I39" s="1">
        <v>83.29</v>
      </c>
      <c r="J39" s="1">
        <v>91.47</v>
      </c>
      <c r="K39" s="1">
        <v>115</v>
      </c>
      <c r="L39" s="1">
        <v>0</v>
      </c>
    </row>
    <row r="40" spans="2:14" x14ac:dyDescent="0.3">
      <c r="D40" s="3"/>
    </row>
    <row r="41" spans="2:14" x14ac:dyDescent="0.3">
      <c r="B41" s="3" t="s">
        <v>129</v>
      </c>
      <c r="D41" s="3">
        <v>27.7</v>
      </c>
      <c r="E41" s="1">
        <v>44.79</v>
      </c>
      <c r="F41" s="1">
        <v>80.06</v>
      </c>
      <c r="G41" s="1">
        <v>55.76</v>
      </c>
      <c r="H41" s="1">
        <v>70.14</v>
      </c>
      <c r="I41" s="1">
        <v>55.56</v>
      </c>
      <c r="J41" s="1">
        <v>95.9</v>
      </c>
      <c r="K41" s="1">
        <v>103</v>
      </c>
      <c r="L41" s="1">
        <v>0</v>
      </c>
    </row>
    <row r="42" spans="2:14" x14ac:dyDescent="0.3">
      <c r="D42" s="3"/>
    </row>
    <row r="43" spans="2:14" x14ac:dyDescent="0.3">
      <c r="B43" s="3" t="s">
        <v>130</v>
      </c>
      <c r="D43" s="3">
        <v>6.7</v>
      </c>
      <c r="E43" s="1">
        <v>6.26</v>
      </c>
      <c r="F43" s="1">
        <v>6.09</v>
      </c>
      <c r="G43" s="1">
        <v>8.66</v>
      </c>
      <c r="H43" s="1">
        <v>12.39</v>
      </c>
      <c r="I43" s="1">
        <v>37.92</v>
      </c>
      <c r="J43" s="1">
        <v>44.48</v>
      </c>
      <c r="K43" s="1">
        <v>60.91</v>
      </c>
      <c r="L43" s="1">
        <v>0</v>
      </c>
    </row>
    <row r="44" spans="2:14" x14ac:dyDescent="0.3">
      <c r="D44" s="3"/>
    </row>
    <row r="45" spans="2:14" x14ac:dyDescent="0.3">
      <c r="B45" s="3" t="s">
        <v>102</v>
      </c>
      <c r="D45" s="3">
        <v>365</v>
      </c>
      <c r="E45" s="1">
        <v>455</v>
      </c>
      <c r="F45" s="1">
        <v>594</v>
      </c>
      <c r="G45" s="1">
        <v>704</v>
      </c>
      <c r="H45" s="1">
        <v>773</v>
      </c>
      <c r="I45" s="1">
        <v>870</v>
      </c>
      <c r="J45" s="6">
        <v>1104</v>
      </c>
      <c r="K45" s="6">
        <v>1133</v>
      </c>
      <c r="L45" s="6">
        <v>1120</v>
      </c>
    </row>
    <row r="46" spans="2:14" x14ac:dyDescent="0.3">
      <c r="D46" s="3"/>
      <c r="J46" s="6"/>
      <c r="K46" s="6"/>
      <c r="L46" s="6"/>
    </row>
    <row r="47" spans="2:14" x14ac:dyDescent="0.3">
      <c r="B47" s="3" t="s">
        <v>6</v>
      </c>
      <c r="D47" s="3">
        <v>80.45</v>
      </c>
      <c r="E47" s="1">
        <v>86.68</v>
      </c>
      <c r="F47" s="1">
        <v>44.79</v>
      </c>
      <c r="G47" s="1">
        <v>44.79</v>
      </c>
      <c r="H47" s="1">
        <v>41.5</v>
      </c>
      <c r="I47" s="1">
        <v>36.85</v>
      </c>
      <c r="J47" s="1">
        <v>44.02</v>
      </c>
      <c r="K47" s="1">
        <v>31.16</v>
      </c>
      <c r="L47" s="1">
        <v>31.95</v>
      </c>
    </row>
    <row r="48" spans="2:14" x14ac:dyDescent="0.3">
      <c r="D48" s="3"/>
    </row>
    <row r="49" spans="2:12" x14ac:dyDescent="0.3">
      <c r="B49" s="3" t="s">
        <v>103</v>
      </c>
      <c r="D49" s="3">
        <v>26.56</v>
      </c>
      <c r="E49" s="1">
        <v>26.45</v>
      </c>
      <c r="F49" s="1">
        <v>31.71</v>
      </c>
      <c r="G49" s="1">
        <v>41.51</v>
      </c>
      <c r="H49" s="1">
        <v>25.45</v>
      </c>
      <c r="I49" s="1">
        <v>19.87</v>
      </c>
      <c r="J49" s="1">
        <v>24.67</v>
      </c>
      <c r="K49" s="1">
        <v>22.67</v>
      </c>
      <c r="L49" s="1">
        <v>18.88</v>
      </c>
    </row>
    <row r="50" spans="2:12" x14ac:dyDescent="0.3">
      <c r="D50" s="3"/>
    </row>
    <row r="51" spans="2:12" x14ac:dyDescent="0.3">
      <c r="B51" s="3" t="s">
        <v>104</v>
      </c>
      <c r="D51" s="3">
        <v>125</v>
      </c>
      <c r="E51" s="1">
        <v>89.85</v>
      </c>
      <c r="F51" s="1">
        <v>41.05</v>
      </c>
      <c r="G51" s="1">
        <v>40.479999999999997</v>
      </c>
      <c r="H51" s="1">
        <v>52.73</v>
      </c>
      <c r="I51" s="1">
        <v>78.430000000000007</v>
      </c>
      <c r="J51" s="1">
        <v>111</v>
      </c>
      <c r="K51" s="1">
        <v>101</v>
      </c>
      <c r="L51" s="1">
        <v>105</v>
      </c>
    </row>
    <row r="52" spans="2:12" x14ac:dyDescent="0.3">
      <c r="D52" s="3"/>
    </row>
    <row r="53" spans="2:12" x14ac:dyDescent="0.3">
      <c r="B53" s="3" t="s">
        <v>131</v>
      </c>
      <c r="D53" s="3">
        <v>320</v>
      </c>
      <c r="E53" s="1">
        <v>451</v>
      </c>
      <c r="F53" s="1">
        <v>598</v>
      </c>
      <c r="G53" s="1">
        <v>708</v>
      </c>
      <c r="H53" s="1">
        <v>762</v>
      </c>
      <c r="I53" s="1">
        <v>828</v>
      </c>
      <c r="J53" s="6">
        <v>1036</v>
      </c>
      <c r="K53" s="6">
        <v>1063</v>
      </c>
      <c r="L53" s="6">
        <v>1046</v>
      </c>
    </row>
    <row r="54" spans="2:12" x14ac:dyDescent="0.3">
      <c r="D54" s="3"/>
      <c r="J54" s="6"/>
      <c r="K54" s="6"/>
      <c r="L54" s="6"/>
    </row>
    <row r="55" spans="2:12" x14ac:dyDescent="0.3">
      <c r="B55" s="4" t="s">
        <v>132</v>
      </c>
      <c r="C55" s="2"/>
      <c r="D55" s="4">
        <v>61.01</v>
      </c>
      <c r="E55" s="2">
        <v>67.31</v>
      </c>
      <c r="F55" s="2">
        <v>50.7</v>
      </c>
      <c r="G55" s="2">
        <v>62.52</v>
      </c>
      <c r="H55" s="2">
        <v>82.73</v>
      </c>
      <c r="I55" s="2">
        <v>113</v>
      </c>
      <c r="J55" s="2">
        <v>158</v>
      </c>
      <c r="K55" s="2">
        <v>204</v>
      </c>
      <c r="L55" s="2">
        <v>224</v>
      </c>
    </row>
    <row r="56" spans="2:12" x14ac:dyDescent="0.3">
      <c r="D56" s="3"/>
    </row>
    <row r="57" spans="2:12" x14ac:dyDescent="0.3">
      <c r="B57" s="3" t="s">
        <v>133</v>
      </c>
      <c r="D57" s="3">
        <v>259</v>
      </c>
      <c r="E57" s="1">
        <v>384</v>
      </c>
      <c r="F57" s="1">
        <v>547</v>
      </c>
      <c r="G57" s="1">
        <v>646</v>
      </c>
      <c r="H57" s="1">
        <v>679</v>
      </c>
      <c r="I57" s="1">
        <v>715</v>
      </c>
      <c r="J57" s="1">
        <v>878</v>
      </c>
      <c r="K57" s="1">
        <v>860</v>
      </c>
      <c r="L57" s="1">
        <v>0</v>
      </c>
    </row>
    <row r="58" spans="2:12" x14ac:dyDescent="0.3">
      <c r="D58" s="3"/>
    </row>
    <row r="59" spans="2:12" x14ac:dyDescent="0.3">
      <c r="B59" s="3" t="s">
        <v>134</v>
      </c>
      <c r="D59" s="3">
        <v>0</v>
      </c>
      <c r="E59" s="1">
        <v>-27.64</v>
      </c>
      <c r="F59" s="1">
        <v>0</v>
      </c>
      <c r="G59" s="1">
        <v>-14.47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2:12" x14ac:dyDescent="0.3">
      <c r="D60" s="3"/>
    </row>
    <row r="61" spans="2:12" x14ac:dyDescent="0.3">
      <c r="B61" s="3" t="s">
        <v>95</v>
      </c>
      <c r="D61" s="3">
        <v>259</v>
      </c>
      <c r="E61" s="1">
        <v>357</v>
      </c>
      <c r="F61" s="1">
        <v>547</v>
      </c>
      <c r="G61" s="1">
        <v>631</v>
      </c>
      <c r="H61" s="1">
        <v>684</v>
      </c>
      <c r="I61" s="1">
        <v>733</v>
      </c>
      <c r="J61" s="1">
        <v>896</v>
      </c>
      <c r="K61" s="1">
        <v>875</v>
      </c>
      <c r="L61" s="1">
        <v>823</v>
      </c>
    </row>
    <row r="62" spans="2:12" x14ac:dyDescent="0.3">
      <c r="D62" s="3"/>
    </row>
    <row r="63" spans="2:12" x14ac:dyDescent="0.3">
      <c r="B63" s="3" t="s">
        <v>157</v>
      </c>
      <c r="D63" s="3">
        <v>94.39</v>
      </c>
      <c r="E63" s="1">
        <v>128</v>
      </c>
      <c r="F63" s="1">
        <v>111</v>
      </c>
      <c r="G63" s="1">
        <v>159</v>
      </c>
      <c r="H63" s="1">
        <v>174</v>
      </c>
      <c r="I63" s="1">
        <v>186</v>
      </c>
      <c r="J63" s="1">
        <v>229</v>
      </c>
      <c r="K63" s="1">
        <v>220</v>
      </c>
      <c r="L63" s="1">
        <v>211</v>
      </c>
    </row>
    <row r="64" spans="2:12" x14ac:dyDescent="0.3">
      <c r="D64" s="3"/>
    </row>
    <row r="65" spans="2:12" x14ac:dyDescent="0.3">
      <c r="B65" s="3" t="s">
        <v>138</v>
      </c>
      <c r="D65" s="3">
        <v>82.82</v>
      </c>
      <c r="E65" s="1">
        <v>124</v>
      </c>
      <c r="F65" s="1">
        <v>121</v>
      </c>
      <c r="G65" s="1">
        <v>139</v>
      </c>
      <c r="H65" s="1">
        <v>147</v>
      </c>
      <c r="I65" s="1">
        <v>147</v>
      </c>
      <c r="J65" s="1">
        <v>180</v>
      </c>
      <c r="K65" s="1">
        <v>172</v>
      </c>
      <c r="L65" s="1">
        <v>0</v>
      </c>
    </row>
    <row r="66" spans="2:12" x14ac:dyDescent="0.3">
      <c r="D66" s="3"/>
    </row>
    <row r="67" spans="2:12" x14ac:dyDescent="0.3">
      <c r="B67" s="3" t="s">
        <v>7</v>
      </c>
      <c r="D67" s="3">
        <v>11.12</v>
      </c>
      <c r="E67" s="1">
        <v>2.75</v>
      </c>
      <c r="F67" s="1">
        <v>-11.38</v>
      </c>
      <c r="G67" s="1">
        <v>20.170000000000002</v>
      </c>
      <c r="H67" s="1">
        <v>26.19</v>
      </c>
      <c r="I67" s="1">
        <v>37.4</v>
      </c>
      <c r="J67" s="1">
        <v>48.92</v>
      </c>
      <c r="K67" s="1">
        <v>49.56</v>
      </c>
      <c r="L67" s="1">
        <v>0</v>
      </c>
    </row>
    <row r="68" spans="2:12" x14ac:dyDescent="0.3">
      <c r="D68" s="3"/>
    </row>
    <row r="69" spans="2:12" x14ac:dyDescent="0.3">
      <c r="B69" s="3" t="s">
        <v>139</v>
      </c>
      <c r="D69" s="3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2:12" x14ac:dyDescent="0.3">
      <c r="D70" s="3"/>
    </row>
    <row r="71" spans="2:12" x14ac:dyDescent="0.3">
      <c r="B71" s="3" t="s">
        <v>135</v>
      </c>
      <c r="D71" s="3">
        <v>162</v>
      </c>
      <c r="E71" s="1">
        <v>229</v>
      </c>
      <c r="F71" s="1">
        <v>436</v>
      </c>
      <c r="G71" s="1">
        <v>463</v>
      </c>
      <c r="H71" s="1">
        <v>509</v>
      </c>
      <c r="I71" s="1">
        <v>546</v>
      </c>
      <c r="J71" s="1">
        <v>668</v>
      </c>
      <c r="K71" s="1">
        <v>654</v>
      </c>
      <c r="L71" s="1">
        <v>611</v>
      </c>
    </row>
    <row r="72" spans="2:12" x14ac:dyDescent="0.3">
      <c r="D72" s="3"/>
    </row>
    <row r="73" spans="2:12" x14ac:dyDescent="0.3">
      <c r="B73" s="3" t="s">
        <v>136</v>
      </c>
      <c r="D73" s="3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2:12" x14ac:dyDescent="0.3">
      <c r="D74" s="3"/>
    </row>
    <row r="75" spans="2:12" x14ac:dyDescent="0.3">
      <c r="B75" s="3" t="s">
        <v>8</v>
      </c>
      <c r="D75" s="3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2:12" x14ac:dyDescent="0.3">
      <c r="D76" s="3"/>
    </row>
    <row r="77" spans="2:12" x14ac:dyDescent="0.3">
      <c r="B77" s="3" t="s">
        <v>137</v>
      </c>
      <c r="D77" s="3">
        <v>-2.61</v>
      </c>
      <c r="E77" s="1">
        <v>-0.01</v>
      </c>
      <c r="F77" s="1">
        <v>0.08</v>
      </c>
      <c r="G77" s="1">
        <v>-9.1300000000000008</v>
      </c>
      <c r="H77" s="1">
        <v>4.74</v>
      </c>
      <c r="I77" s="1">
        <v>0</v>
      </c>
      <c r="J77" s="1">
        <v>0</v>
      </c>
      <c r="K77" s="1">
        <v>0</v>
      </c>
      <c r="L77" s="1">
        <v>0</v>
      </c>
    </row>
    <row r="78" spans="2:12" x14ac:dyDescent="0.3">
      <c r="D78" s="3"/>
    </row>
    <row r="79" spans="2:12" x14ac:dyDescent="0.3">
      <c r="B79" s="3" t="s">
        <v>105</v>
      </c>
      <c r="D79" s="3">
        <v>162</v>
      </c>
      <c r="E79" s="1">
        <v>229</v>
      </c>
      <c r="F79" s="1">
        <v>436</v>
      </c>
      <c r="G79" s="1">
        <v>463</v>
      </c>
      <c r="H79" s="1">
        <v>509</v>
      </c>
      <c r="I79" s="1">
        <v>546</v>
      </c>
      <c r="J79" s="1">
        <v>668</v>
      </c>
      <c r="K79" s="1">
        <v>654</v>
      </c>
      <c r="L79" s="1">
        <v>611</v>
      </c>
    </row>
    <row r="80" spans="2:12" x14ac:dyDescent="0.3">
      <c r="D80" s="3"/>
    </row>
    <row r="81" spans="2:12" x14ac:dyDescent="0.3">
      <c r="B81" s="3" t="s">
        <v>106</v>
      </c>
      <c r="D81" s="3">
        <v>0</v>
      </c>
      <c r="E81" s="1">
        <v>110</v>
      </c>
      <c r="F81" s="1">
        <v>110</v>
      </c>
      <c r="G81" s="1">
        <v>110</v>
      </c>
      <c r="H81" s="1">
        <v>110</v>
      </c>
      <c r="I81" s="1">
        <v>110</v>
      </c>
      <c r="J81" s="1">
        <v>110</v>
      </c>
      <c r="K81" s="1">
        <v>110</v>
      </c>
      <c r="L81" s="1">
        <v>0</v>
      </c>
    </row>
    <row r="82" spans="2:12" x14ac:dyDescent="0.3">
      <c r="D82" s="3"/>
    </row>
    <row r="83" spans="2:12" x14ac:dyDescent="0.3">
      <c r="B83" s="3" t="s">
        <v>107</v>
      </c>
      <c r="D83" s="3">
        <v>0</v>
      </c>
      <c r="E83" s="1">
        <v>12.02</v>
      </c>
      <c r="F83" s="1">
        <v>6.3</v>
      </c>
      <c r="G83" s="1">
        <v>5.94</v>
      </c>
      <c r="H83" s="1">
        <v>5.4</v>
      </c>
      <c r="I83" s="1">
        <v>5.03</v>
      </c>
      <c r="J83" s="1">
        <v>4.12</v>
      </c>
      <c r="K83" s="1">
        <v>4.2</v>
      </c>
      <c r="L83" s="1">
        <v>0</v>
      </c>
    </row>
    <row r="84" spans="2:12" x14ac:dyDescent="0.3">
      <c r="D84" s="3"/>
    </row>
    <row r="85" spans="2:12" x14ac:dyDescent="0.3">
      <c r="B85" s="3" t="s">
        <v>108</v>
      </c>
    </row>
  </sheetData>
  <hyperlinks>
    <hyperlink ref="D3" r:id="rId1" location="profit_and_loss" xr:uid="{3133F358-7FBF-4E1E-8C62-FBD96E9F5576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C6E6-9E38-4865-8E62-613104FCAADA}">
  <dimension ref="B1:F12"/>
  <sheetViews>
    <sheetView workbookViewId="0">
      <selection activeCell="J11" sqref="J11"/>
    </sheetView>
  </sheetViews>
  <sheetFormatPr defaultRowHeight="14.4" x14ac:dyDescent="0.3"/>
  <cols>
    <col min="2" max="2" width="22.109375" customWidth="1"/>
    <col min="3" max="6" width="12.21875" customWidth="1"/>
  </cols>
  <sheetData>
    <row r="1" spans="2:6" x14ac:dyDescent="0.3">
      <c r="B1" s="1"/>
      <c r="C1" s="1"/>
      <c r="D1" s="1"/>
      <c r="E1" s="1"/>
      <c r="F1" s="1"/>
    </row>
    <row r="2" spans="2:6" ht="20.399999999999999" x14ac:dyDescent="0.3">
      <c r="B2" s="115"/>
      <c r="C2" s="1"/>
      <c r="D2" s="1"/>
      <c r="E2" s="1"/>
      <c r="F2" s="1"/>
    </row>
    <row r="3" spans="2:6" x14ac:dyDescent="0.3">
      <c r="B3" s="1"/>
      <c r="C3" s="1"/>
      <c r="D3" s="1"/>
      <c r="E3" s="1"/>
      <c r="F3" s="1"/>
    </row>
    <row r="4" spans="2:6" x14ac:dyDescent="0.3">
      <c r="B4" s="116"/>
      <c r="C4" s="1"/>
      <c r="D4" s="1"/>
      <c r="E4" s="1"/>
      <c r="F4" s="1"/>
    </row>
    <row r="5" spans="2:6" x14ac:dyDescent="0.3">
      <c r="B5" s="116"/>
      <c r="C5" s="1"/>
      <c r="D5" s="1"/>
      <c r="E5" s="1"/>
      <c r="F5" s="1"/>
    </row>
    <row r="6" spans="2:6" ht="16.8" x14ac:dyDescent="0.3">
      <c r="B6" s="117" t="s">
        <v>177</v>
      </c>
      <c r="C6" s="117" t="s">
        <v>178</v>
      </c>
      <c r="D6" s="117" t="s">
        <v>179</v>
      </c>
      <c r="E6" s="117" t="s">
        <v>82</v>
      </c>
      <c r="F6" s="117" t="s">
        <v>180</v>
      </c>
    </row>
    <row r="7" spans="2:6" ht="16.8" x14ac:dyDescent="0.3">
      <c r="B7" s="118" t="s">
        <v>181</v>
      </c>
      <c r="C7" s="119">
        <v>61210</v>
      </c>
      <c r="D7" s="119">
        <v>108068</v>
      </c>
      <c r="E7" s="119">
        <v>27156</v>
      </c>
      <c r="F7" s="120">
        <v>25851</v>
      </c>
    </row>
    <row r="8" spans="2:6" ht="16.8" x14ac:dyDescent="0.3">
      <c r="B8" s="118" t="s">
        <v>182</v>
      </c>
      <c r="C8" s="119" t="s">
        <v>183</v>
      </c>
      <c r="D8" s="119">
        <v>141903</v>
      </c>
      <c r="E8" s="119">
        <v>16487</v>
      </c>
      <c r="F8" s="120">
        <v>14928</v>
      </c>
    </row>
    <row r="9" spans="2:6" ht="16.8" x14ac:dyDescent="0.3">
      <c r="B9" s="118" t="s">
        <v>184</v>
      </c>
      <c r="C9" s="119" t="s">
        <v>185</v>
      </c>
      <c r="D9" s="119" t="s">
        <v>186</v>
      </c>
      <c r="E9" s="119" t="s">
        <v>187</v>
      </c>
      <c r="F9" s="120" t="s">
        <v>188</v>
      </c>
    </row>
    <row r="10" spans="2:6" ht="16.8" x14ac:dyDescent="0.3">
      <c r="B10" s="118" t="s">
        <v>189</v>
      </c>
      <c r="C10" s="119" t="s">
        <v>194</v>
      </c>
      <c r="D10" s="119" t="s">
        <v>195</v>
      </c>
      <c r="E10" s="119" t="s">
        <v>196</v>
      </c>
      <c r="F10" s="120" t="s">
        <v>197</v>
      </c>
    </row>
    <row r="11" spans="2:6" ht="16.8" x14ac:dyDescent="0.3">
      <c r="B11" s="118" t="s">
        <v>190</v>
      </c>
      <c r="C11" s="119" t="s">
        <v>191</v>
      </c>
      <c r="D11" s="119">
        <v>0.13500000000000001</v>
      </c>
      <c r="E11" s="119">
        <v>0.29499999999999998</v>
      </c>
      <c r="F11" s="120">
        <v>0.19500000000000001</v>
      </c>
    </row>
    <row r="12" spans="2:6" ht="16.8" x14ac:dyDescent="0.3">
      <c r="B12" s="118" t="s">
        <v>192</v>
      </c>
      <c r="C12" s="119" t="s">
        <v>193</v>
      </c>
      <c r="D12" s="119">
        <v>4.5999999999999999E-2</v>
      </c>
      <c r="E12" s="119">
        <v>1.4999999999999999E-2</v>
      </c>
      <c r="F12" s="120">
        <v>3.7999999999999999E-2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</vt:lpstr>
      <vt:lpstr>ATGL_Finanacial Ratios</vt:lpstr>
      <vt:lpstr>Analysis</vt:lpstr>
      <vt:lpstr>ATFL_BS_Consolidated</vt:lpstr>
      <vt:lpstr>ATGL_P&amp;L_Consolidated</vt:lpstr>
      <vt:lpstr>Peers&amp;Competitor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Pandey, Akhilesh</cp:lastModifiedBy>
  <cp:revision/>
  <dcterms:created xsi:type="dcterms:W3CDTF">2025-07-19T17:59:35Z</dcterms:created>
  <dcterms:modified xsi:type="dcterms:W3CDTF">2026-01-11T20:24:10Z</dcterms:modified>
  <cp:category/>
  <cp:contentStatus/>
</cp:coreProperties>
</file>