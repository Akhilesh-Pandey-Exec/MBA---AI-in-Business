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Invt_EOQ" sheetId="1" r:id="rId1"/>
    <sheet name="Receivable Mgt"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2" i="2" l="1"/>
  <c r="C24" i="2" s="1"/>
  <c r="D24" i="2"/>
  <c r="E24" i="2"/>
  <c r="F24" i="2"/>
  <c r="G24" i="2"/>
  <c r="D22" i="2"/>
  <c r="E22" i="2"/>
  <c r="F22" i="2"/>
  <c r="G22" i="2"/>
  <c r="D19" i="2"/>
  <c r="E19" i="2"/>
  <c r="F19" i="2"/>
  <c r="G19" i="2"/>
  <c r="C19" i="2"/>
  <c r="D18" i="2"/>
  <c r="E18" i="2"/>
  <c r="F18" i="2"/>
  <c r="G18" i="2"/>
  <c r="C18" i="2"/>
  <c r="D17" i="2"/>
  <c r="E17" i="2"/>
  <c r="F17" i="2"/>
  <c r="G17" i="2"/>
  <c r="C17" i="2"/>
  <c r="G15" i="2"/>
  <c r="F15" i="2"/>
  <c r="E15" i="2"/>
  <c r="D15" i="2"/>
  <c r="C15" i="2"/>
  <c r="D14" i="2"/>
  <c r="E14" i="2"/>
  <c r="F14" i="2"/>
  <c r="G14" i="2"/>
  <c r="C14" i="2"/>
  <c r="G13" i="2"/>
  <c r="F13" i="2"/>
  <c r="E13" i="2"/>
  <c r="D13" i="2"/>
  <c r="C13" i="2"/>
  <c r="D12" i="2"/>
  <c r="E12" i="2"/>
  <c r="F12" i="2"/>
  <c r="G12" i="2"/>
  <c r="C12" i="2"/>
  <c r="E7" i="2"/>
  <c r="F7" i="2"/>
  <c r="G7" i="2"/>
  <c r="C7" i="2"/>
  <c r="D7" i="2"/>
  <c r="G8" i="2"/>
  <c r="F8" i="2"/>
  <c r="E8" i="2"/>
  <c r="D8" i="2"/>
  <c r="C8" i="2"/>
  <c r="G4" i="2"/>
  <c r="F4" i="2"/>
  <c r="E4" i="2"/>
  <c r="D4" i="2"/>
  <c r="D27" i="1"/>
  <c r="B45" i="1"/>
  <c r="B44" i="1"/>
  <c r="B41" i="1"/>
  <c r="B42" i="1"/>
  <c r="B38" i="1"/>
  <c r="B39" i="1"/>
  <c r="B36" i="1"/>
  <c r="B34" i="1"/>
  <c r="B33" i="1"/>
  <c r="B27" i="1"/>
  <c r="B24" i="1"/>
  <c r="B23" i="1"/>
  <c r="B20" i="1"/>
  <c r="B19" i="1"/>
  <c r="B17" i="1"/>
  <c r="B16" i="1"/>
  <c r="B13" i="1"/>
  <c r="B11" i="1"/>
  <c r="B7" i="1"/>
</calcChain>
</file>

<file path=xl/sharedStrings.xml><?xml version="1.0" encoding="utf-8"?>
<sst xmlns="http://schemas.openxmlformats.org/spreadsheetml/2006/main" count="68" uniqueCount="59">
  <si>
    <t>units per month</t>
  </si>
  <si>
    <t>Demand</t>
  </si>
  <si>
    <t>Price</t>
  </si>
  <si>
    <t>per unit</t>
  </si>
  <si>
    <t>Ordering cost</t>
  </si>
  <si>
    <t>per order</t>
  </si>
  <si>
    <t>Carrying cost</t>
  </si>
  <si>
    <t>Carrying cost (Rs.) = Carrying cost (%) * Price</t>
  </si>
  <si>
    <t>EOQ</t>
  </si>
  <si>
    <t>?</t>
  </si>
  <si>
    <t>Invt in inventory at EOQ</t>
  </si>
  <si>
    <t>A = Annual usage = Monthly demand * 12</t>
  </si>
  <si>
    <t>EOQ = squr (2AO/CC)</t>
  </si>
  <si>
    <t>units per order</t>
  </si>
  <si>
    <t>Total ordering cost</t>
  </si>
  <si>
    <t>No. of order per year = A/EOQ</t>
  </si>
  <si>
    <t>Avg. annual usage</t>
  </si>
  <si>
    <t>Total CC</t>
  </si>
  <si>
    <t>CC at EOQ</t>
  </si>
  <si>
    <t>Avg. EOQ</t>
  </si>
  <si>
    <t>CC at EOQ = Avg. EOQ * CC per unit</t>
  </si>
  <si>
    <t>Invt. In Inventory at EOQ = Ordering cost at EOQ + CC at EOQ</t>
  </si>
  <si>
    <t xml:space="preserve">1. The demand for a certain item is random. It has been estimated that monthly demand of the item has a normal distribution with a mean of 780 units. The unit price of the item is Rs.25. ordering cost is Rs.28 and the inventory carrying cost is estimated to be 35 per cent year. Determine EOQ.
</t>
  </si>
  <si>
    <t xml:space="preserve">2. Hindustan Engineering Factory consumes 75000 units of a component per year. The ordering, receiving and handling costs are Rs.6 per order while transportation cost is Rs.24 per order. Depreciation and obsolescence cost is Rs.0.008 per unit per year, interest cost Rs.0.12 per unit per year, storage cost Rs.2000 per year for 75000 units. Calculate EOQ. What is the optimum inventory investment required per annum. 
</t>
  </si>
  <si>
    <t>A</t>
  </si>
  <si>
    <t>units</t>
  </si>
  <si>
    <t>OC = receiving and handling costs + Transportation cost</t>
  </si>
  <si>
    <t>CC = Depreciation cost + interest cost + storage cost</t>
  </si>
  <si>
    <t>EOQ = sqr (2AO/CC)</t>
  </si>
  <si>
    <t>Ordering cost at EOQ</t>
  </si>
  <si>
    <t>No. of orders per year</t>
  </si>
  <si>
    <t>Total inventory cost at EOQ</t>
  </si>
  <si>
    <t>Annual Inventory invt</t>
  </si>
  <si>
    <t>Total Approach</t>
  </si>
  <si>
    <t>Particulars</t>
  </si>
  <si>
    <t>Present Policy</t>
  </si>
  <si>
    <t>Option A</t>
  </si>
  <si>
    <t>Option B</t>
  </si>
  <si>
    <t>Option C</t>
  </si>
  <si>
    <t>Days</t>
  </si>
  <si>
    <t>(-) Cost</t>
  </si>
  <si>
    <t>Selling price</t>
  </si>
  <si>
    <t>Sales Qty</t>
  </si>
  <si>
    <t>Credit Sales (1*2)</t>
  </si>
  <si>
    <t>Variable Cost per unit</t>
  </si>
  <si>
    <t>Total Variable cost (4*2)</t>
  </si>
  <si>
    <t>Fixed cost (constant)</t>
  </si>
  <si>
    <t>Total cost (5+6)</t>
  </si>
  <si>
    <t>Bad debt</t>
  </si>
  <si>
    <t>Cash discount</t>
  </si>
  <si>
    <t>Expected Net Profit before tax (3-7-8-9)</t>
  </si>
  <si>
    <t>(-) Tax @ 30%</t>
  </si>
  <si>
    <t>Expected net profit after tax (10-11)</t>
  </si>
  <si>
    <t>Expected Profit</t>
  </si>
  <si>
    <t>B</t>
  </si>
  <si>
    <t>Opportunity Cost</t>
  </si>
  <si>
    <t>Net Benefit (A-B)</t>
  </si>
  <si>
    <t>Option D</t>
  </si>
  <si>
    <t xml:space="preserve">Total Cost of Credit Sales × (Collection period (Days)/ 360) ) x (Required Rate of Return)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</si>
</sst>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wrapText="1"/>
    </xf>
    <xf numFmtId="9" fontId="0" fillId="0" borderId="0" xfId="0" applyNumberFormat="1"/>
    <xf numFmtId="1" fontId="0" fillId="0" borderId="0" xfId="0" applyNumberFormat="1"/>
    <xf numFmtId="0" fontId="1" fillId="0" borderId="0" xfId="0" applyFont="1"/>
    <xf numFmtId="1" fontId="1" fillId="0" borderId="0" xfId="0" applyNumberFormat="1" applyFont="1"/>
    <xf numFmtId="0" fontId="1" fillId="0" borderId="0" xfId="0" applyFont="1" applyAlignment="1">
      <alignment wrapText="1"/>
    </xf>
    <xf numFmtId="0" fontId="1" fillId="2" borderId="0" xfId="0" applyFont="1" applyFill="1" applyAlignment="1">
      <alignment wrapText="1"/>
    </xf>
    <xf numFmtId="1" fontId="1" fillId="2" borderId="0" xfId="0" applyNumberFormat="1" applyFont="1" applyFill="1"/>
    <xf numFmtId="0" fontId="1" fillId="0" borderId="0" xfId="0" applyFont="1" applyAlignment="1"/>
    <xf numFmtId="0" fontId="0" fillId="0" borderId="1" xfId="0" applyBorder="1"/>
    <xf numFmtId="0" fontId="1" fillId="0" borderId="1" xfId="0" applyFont="1" applyBorder="1" applyAlignment="1">
      <alignment wrapText="1"/>
    </xf>
    <xf numFmtId="0" fontId="1" fillId="0" borderId="1" xfId="0" applyFont="1" applyBorder="1"/>
    <xf numFmtId="0" fontId="0" fillId="0" borderId="1" xfId="0" applyBorder="1" applyAlignment="1">
      <alignment wrapText="1"/>
    </xf>
    <xf numFmtId="1" fontId="0" fillId="0" borderId="1" xfId="0" applyNumberFormat="1" applyBorder="1"/>
    <xf numFmtId="1" fontId="1" fillId="2" borderId="1"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609599</xdr:colOff>
      <xdr:row>0</xdr:row>
      <xdr:rowOff>0</xdr:rowOff>
    </xdr:from>
    <xdr:to>
      <xdr:col>18</xdr:col>
      <xdr:colOff>504824</xdr:colOff>
      <xdr:row>8</xdr:row>
      <xdr:rowOff>42802</xdr:rowOff>
    </xdr:to>
    <xdr:pic>
      <xdr:nvPicPr>
        <xdr:cNvPr id="2" name="Picture 1"/>
        <xdr:cNvPicPr>
          <a:picLocks noChangeAspect="1"/>
        </xdr:cNvPicPr>
      </xdr:nvPicPr>
      <xdr:blipFill>
        <a:blip xmlns:r="http://schemas.openxmlformats.org/officeDocument/2006/relationships" r:embed="rId1">
          <a:grayscl/>
        </a:blip>
        <a:stretch>
          <a:fillRect/>
        </a:stretch>
      </xdr:blipFill>
      <xdr:spPr>
        <a:xfrm>
          <a:off x="6143624" y="0"/>
          <a:ext cx="5381625" cy="15668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topLeftCell="A30" workbookViewId="0">
      <selection activeCell="B45" sqref="B45"/>
    </sheetView>
  </sheetViews>
  <sheetFormatPr defaultRowHeight="15" x14ac:dyDescent="0.25"/>
  <cols>
    <col min="1" max="1" width="27.7109375" customWidth="1"/>
  </cols>
  <sheetData>
    <row r="1" spans="1:3" x14ac:dyDescent="0.25">
      <c r="A1" s="9" t="s">
        <v>22</v>
      </c>
    </row>
    <row r="3" spans="1:3" x14ac:dyDescent="0.25">
      <c r="A3" t="s">
        <v>1</v>
      </c>
      <c r="B3">
        <v>780</v>
      </c>
      <c r="C3" t="s">
        <v>0</v>
      </c>
    </row>
    <row r="4" spans="1:3" x14ac:dyDescent="0.25">
      <c r="A4" t="s">
        <v>2</v>
      </c>
      <c r="B4">
        <v>25</v>
      </c>
      <c r="C4" t="s">
        <v>3</v>
      </c>
    </row>
    <row r="5" spans="1:3" x14ac:dyDescent="0.25">
      <c r="A5" t="s">
        <v>4</v>
      </c>
      <c r="B5">
        <v>28</v>
      </c>
      <c r="C5" t="s">
        <v>5</v>
      </c>
    </row>
    <row r="6" spans="1:3" x14ac:dyDescent="0.25">
      <c r="A6" t="s">
        <v>6</v>
      </c>
      <c r="B6" s="2">
        <v>0.35</v>
      </c>
      <c r="C6" t="s">
        <v>3</v>
      </c>
    </row>
    <row r="7" spans="1:3" ht="45" x14ac:dyDescent="0.25">
      <c r="A7" s="1" t="s">
        <v>7</v>
      </c>
      <c r="B7">
        <f>B6*B4</f>
        <v>8.75</v>
      </c>
      <c r="C7" t="s">
        <v>3</v>
      </c>
    </row>
    <row r="8" spans="1:3" x14ac:dyDescent="0.25">
      <c r="A8" t="s">
        <v>8</v>
      </c>
      <c r="B8" t="s">
        <v>9</v>
      </c>
    </row>
    <row r="9" spans="1:3" x14ac:dyDescent="0.25">
      <c r="A9" t="s">
        <v>10</v>
      </c>
      <c r="B9" t="s">
        <v>9</v>
      </c>
    </row>
    <row r="11" spans="1:3" ht="30" x14ac:dyDescent="0.25">
      <c r="A11" s="1" t="s">
        <v>11</v>
      </c>
      <c r="B11">
        <f>B3*12</f>
        <v>9360</v>
      </c>
    </row>
    <row r="13" spans="1:3" x14ac:dyDescent="0.25">
      <c r="A13" s="4" t="s">
        <v>12</v>
      </c>
      <c r="B13" s="5">
        <f>SQRT((2*B11*B5)/B7)</f>
        <v>244.75293665245368</v>
      </c>
      <c r="C13" s="4" t="s">
        <v>13</v>
      </c>
    </row>
    <row r="16" spans="1:3" x14ac:dyDescent="0.25">
      <c r="A16" t="s">
        <v>15</v>
      </c>
      <c r="B16" s="3">
        <f>B11/B13</f>
        <v>38.242646351945886</v>
      </c>
    </row>
    <row r="17" spans="1:4" x14ac:dyDescent="0.25">
      <c r="A17" t="s">
        <v>14</v>
      </c>
      <c r="B17" s="3">
        <f>B16*B5</f>
        <v>1070.7940978544848</v>
      </c>
    </row>
    <row r="19" spans="1:4" x14ac:dyDescent="0.25">
      <c r="A19" t="s">
        <v>16</v>
      </c>
      <c r="B19">
        <f>B11/2</f>
        <v>4680</v>
      </c>
    </row>
    <row r="20" spans="1:4" x14ac:dyDescent="0.25">
      <c r="A20" t="s">
        <v>17</v>
      </c>
      <c r="B20">
        <f>B19*B7</f>
        <v>40950</v>
      </c>
    </row>
    <row r="22" spans="1:4" x14ac:dyDescent="0.25">
      <c r="A22" t="s">
        <v>18</v>
      </c>
    </row>
    <row r="23" spans="1:4" x14ac:dyDescent="0.25">
      <c r="A23" t="s">
        <v>19</v>
      </c>
      <c r="B23">
        <f>B13/2</f>
        <v>122.37646832622684</v>
      </c>
    </row>
    <row r="24" spans="1:4" x14ac:dyDescent="0.25">
      <c r="A24" t="s">
        <v>20</v>
      </c>
      <c r="B24" s="3">
        <f>B23*B7</f>
        <v>1070.7940978544848</v>
      </c>
    </row>
    <row r="27" spans="1:4" ht="45" x14ac:dyDescent="0.25">
      <c r="A27" s="7" t="s">
        <v>21</v>
      </c>
      <c r="B27" s="8">
        <f>B17+B24</f>
        <v>2141.5881957089696</v>
      </c>
      <c r="D27" s="4">
        <f>B27*B16</f>
        <v>81900</v>
      </c>
    </row>
    <row r="30" spans="1:4" x14ac:dyDescent="0.25">
      <c r="A30" s="9" t="s">
        <v>23</v>
      </c>
    </row>
    <row r="32" spans="1:4" x14ac:dyDescent="0.25">
      <c r="A32" t="s">
        <v>24</v>
      </c>
      <c r="B32">
        <v>75000</v>
      </c>
      <c r="C32" t="s">
        <v>25</v>
      </c>
    </row>
    <row r="33" spans="1:3" ht="30" x14ac:dyDescent="0.25">
      <c r="A33" s="1" t="s">
        <v>26</v>
      </c>
      <c r="B33">
        <f>6+24</f>
        <v>30</v>
      </c>
      <c r="C33" t="s">
        <v>5</v>
      </c>
    </row>
    <row r="34" spans="1:3" ht="30" x14ac:dyDescent="0.25">
      <c r="A34" s="1" t="s">
        <v>27</v>
      </c>
      <c r="B34">
        <f>0.008+0.12+(2000/75000)</f>
        <v>0.15466666666666667</v>
      </c>
      <c r="C34" t="s">
        <v>3</v>
      </c>
    </row>
    <row r="36" spans="1:3" x14ac:dyDescent="0.25">
      <c r="A36" t="s">
        <v>28</v>
      </c>
      <c r="B36" s="3">
        <f>SQRT((2*B32*B33)/B34)</f>
        <v>5393.9621417105718</v>
      </c>
      <c r="C36" t="s">
        <v>13</v>
      </c>
    </row>
    <row r="38" spans="1:3" x14ac:dyDescent="0.25">
      <c r="A38" t="s">
        <v>29</v>
      </c>
      <c r="B38" s="3">
        <f>B39*B33</f>
        <v>417.13307229228417</v>
      </c>
    </row>
    <row r="39" spans="1:3" x14ac:dyDescent="0.25">
      <c r="A39" t="s">
        <v>30</v>
      </c>
      <c r="B39" s="3">
        <f>B32/B36</f>
        <v>13.904435743076139</v>
      </c>
    </row>
    <row r="41" spans="1:3" x14ac:dyDescent="0.25">
      <c r="A41" t="s">
        <v>18</v>
      </c>
      <c r="B41" s="3">
        <f>B42*B34</f>
        <v>417.13307229228423</v>
      </c>
    </row>
    <row r="42" spans="1:3" x14ac:dyDescent="0.25">
      <c r="A42" t="s">
        <v>19</v>
      </c>
      <c r="B42">
        <f>B36/2</f>
        <v>2696.9810708552859</v>
      </c>
    </row>
    <row r="44" spans="1:3" x14ac:dyDescent="0.25">
      <c r="A44" t="s">
        <v>31</v>
      </c>
      <c r="B44" s="5">
        <f>B38+B41</f>
        <v>834.26614458456834</v>
      </c>
    </row>
    <row r="45" spans="1:3" x14ac:dyDescent="0.25">
      <c r="A45" s="4" t="s">
        <v>32</v>
      </c>
      <c r="B45" s="4">
        <f>B44*B39</f>
        <v>11599.999999999998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tabSelected="1" topLeftCell="A13" workbookViewId="0">
      <selection activeCell="D24" sqref="D24"/>
    </sheetView>
  </sheetViews>
  <sheetFormatPr defaultRowHeight="15" x14ac:dyDescent="0.25"/>
  <cols>
    <col min="2" max="2" width="21.85546875" style="1" customWidth="1"/>
    <col min="3" max="3" width="13.7109375" bestFit="1" customWidth="1"/>
    <col min="5" max="5" width="12" bestFit="1" customWidth="1"/>
  </cols>
  <sheetData>
    <row r="1" spans="1:7" x14ac:dyDescent="0.25">
      <c r="B1" s="6" t="s">
        <v>33</v>
      </c>
    </row>
    <row r="3" spans="1:7" x14ac:dyDescent="0.25">
      <c r="A3" s="10"/>
      <c r="B3" s="11" t="s">
        <v>34</v>
      </c>
      <c r="C3" s="12" t="s">
        <v>35</v>
      </c>
      <c r="D3" s="12" t="s">
        <v>36</v>
      </c>
      <c r="E3" s="12" t="s">
        <v>37</v>
      </c>
      <c r="F3" s="12" t="s">
        <v>38</v>
      </c>
      <c r="G3" s="12" t="s">
        <v>57</v>
      </c>
    </row>
    <row r="4" spans="1:7" x14ac:dyDescent="0.25">
      <c r="A4" s="10"/>
      <c r="B4" s="13" t="s">
        <v>39</v>
      </c>
      <c r="C4" s="10">
        <v>30</v>
      </c>
      <c r="D4" s="10">
        <f>C4+10</f>
        <v>40</v>
      </c>
      <c r="E4" s="10">
        <f>C4+20</f>
        <v>50</v>
      </c>
      <c r="F4" s="10">
        <f>C4+30</f>
        <v>60</v>
      </c>
      <c r="G4" s="10">
        <f>C4+45</f>
        <v>75</v>
      </c>
    </row>
    <row r="5" spans="1:7" x14ac:dyDescent="0.25">
      <c r="A5" s="12" t="s">
        <v>24</v>
      </c>
      <c r="B5" s="11" t="s">
        <v>53</v>
      </c>
      <c r="C5" s="10"/>
      <c r="D5" s="10"/>
      <c r="E5" s="10"/>
      <c r="F5" s="10"/>
      <c r="G5" s="10"/>
    </row>
    <row r="6" spans="1:7" x14ac:dyDescent="0.25">
      <c r="A6" s="10">
        <v>1</v>
      </c>
      <c r="B6" s="13" t="s">
        <v>41</v>
      </c>
      <c r="C6" s="10">
        <v>3</v>
      </c>
      <c r="D6" s="10">
        <v>3</v>
      </c>
      <c r="E6" s="10">
        <v>3</v>
      </c>
      <c r="F6" s="10">
        <v>3</v>
      </c>
      <c r="G6" s="10">
        <v>3</v>
      </c>
    </row>
    <row r="7" spans="1:7" x14ac:dyDescent="0.25">
      <c r="A7" s="10">
        <v>2</v>
      </c>
      <c r="B7" s="13" t="s">
        <v>42</v>
      </c>
      <c r="C7" s="10">
        <f>C8/C6</f>
        <v>600000</v>
      </c>
      <c r="D7" s="10">
        <f>D8/D6</f>
        <v>610000</v>
      </c>
      <c r="E7" s="10">
        <f t="shared" ref="E7:G7" si="0">E8/E6</f>
        <v>616000</v>
      </c>
      <c r="F7" s="10">
        <f t="shared" si="0"/>
        <v>625000</v>
      </c>
      <c r="G7" s="10">
        <f t="shared" si="0"/>
        <v>630000</v>
      </c>
    </row>
    <row r="8" spans="1:7" x14ac:dyDescent="0.25">
      <c r="A8" s="10">
        <v>3</v>
      </c>
      <c r="B8" s="13" t="s">
        <v>43</v>
      </c>
      <c r="C8" s="10">
        <f>600000*3</f>
        <v>1800000</v>
      </c>
      <c r="D8" s="10">
        <f>C8+30000</f>
        <v>1830000</v>
      </c>
      <c r="E8" s="10">
        <f>C8+48000</f>
        <v>1848000</v>
      </c>
      <c r="F8" s="10">
        <f>C8+75000</f>
        <v>1875000</v>
      </c>
      <c r="G8" s="10">
        <f>C8+90000</f>
        <v>1890000</v>
      </c>
    </row>
    <row r="9" spans="1:7" x14ac:dyDescent="0.25">
      <c r="A9" s="10"/>
      <c r="B9" s="13"/>
      <c r="C9" s="10"/>
      <c r="D9" s="10"/>
      <c r="E9" s="10"/>
      <c r="F9" s="10"/>
      <c r="G9" s="10"/>
    </row>
    <row r="10" spans="1:7" x14ac:dyDescent="0.25">
      <c r="A10" s="10"/>
      <c r="B10" s="13" t="s">
        <v>40</v>
      </c>
      <c r="C10" s="10"/>
      <c r="D10" s="10"/>
      <c r="E10" s="10"/>
      <c r="F10" s="10"/>
      <c r="G10" s="10"/>
    </row>
    <row r="11" spans="1:7" x14ac:dyDescent="0.25">
      <c r="A11" s="10">
        <v>4</v>
      </c>
      <c r="B11" s="13" t="s">
        <v>44</v>
      </c>
      <c r="C11" s="10">
        <v>2</v>
      </c>
      <c r="D11" s="10">
        <v>2</v>
      </c>
      <c r="E11" s="10">
        <v>2</v>
      </c>
      <c r="F11" s="10">
        <v>2</v>
      </c>
      <c r="G11" s="10">
        <v>2</v>
      </c>
    </row>
    <row r="12" spans="1:7" ht="30" x14ac:dyDescent="0.25">
      <c r="A12" s="10">
        <v>5</v>
      </c>
      <c r="B12" s="13" t="s">
        <v>45</v>
      </c>
      <c r="C12" s="10">
        <f>C7*C11</f>
        <v>1200000</v>
      </c>
      <c r="D12" s="10">
        <f t="shared" ref="D12:G12" si="1">D7*D11</f>
        <v>1220000</v>
      </c>
      <c r="E12" s="10">
        <f t="shared" si="1"/>
        <v>1232000</v>
      </c>
      <c r="F12" s="10">
        <f t="shared" si="1"/>
        <v>1250000</v>
      </c>
      <c r="G12" s="10">
        <f t="shared" si="1"/>
        <v>1260000</v>
      </c>
    </row>
    <row r="13" spans="1:7" x14ac:dyDescent="0.25">
      <c r="A13" s="10">
        <v>6</v>
      </c>
      <c r="B13" s="13" t="s">
        <v>46</v>
      </c>
      <c r="C13" s="10">
        <f>0.25*C7</f>
        <v>150000</v>
      </c>
      <c r="D13" s="10">
        <f>C13</f>
        <v>150000</v>
      </c>
      <c r="E13" s="10">
        <f>C13</f>
        <v>150000</v>
      </c>
      <c r="F13" s="10">
        <f>C13</f>
        <v>150000</v>
      </c>
      <c r="G13" s="10">
        <f>C13</f>
        <v>150000</v>
      </c>
    </row>
    <row r="14" spans="1:7" x14ac:dyDescent="0.25">
      <c r="A14" s="10">
        <v>7</v>
      </c>
      <c r="B14" s="13" t="s">
        <v>47</v>
      </c>
      <c r="C14" s="10">
        <f>C12+C13</f>
        <v>1350000</v>
      </c>
      <c r="D14" s="10">
        <f t="shared" ref="D14:G14" si="2">D12+D13</f>
        <v>1370000</v>
      </c>
      <c r="E14" s="10">
        <f t="shared" si="2"/>
        <v>1382000</v>
      </c>
      <c r="F14" s="10">
        <f t="shared" si="2"/>
        <v>1400000</v>
      </c>
      <c r="G14" s="10">
        <f t="shared" si="2"/>
        <v>1410000</v>
      </c>
    </row>
    <row r="15" spans="1:7" x14ac:dyDescent="0.25">
      <c r="A15" s="10">
        <v>8</v>
      </c>
      <c r="B15" s="13" t="s">
        <v>48</v>
      </c>
      <c r="C15" s="10">
        <f>1%*C8</f>
        <v>18000</v>
      </c>
      <c r="D15" s="10">
        <f>1.5%*D8</f>
        <v>27450</v>
      </c>
      <c r="E15" s="10">
        <f>2%*E8</f>
        <v>36960</v>
      </c>
      <c r="F15" s="10">
        <f>3%*F8</f>
        <v>56250</v>
      </c>
      <c r="G15" s="10">
        <f>4%*G8</f>
        <v>75600</v>
      </c>
    </row>
    <row r="16" spans="1:7" x14ac:dyDescent="0.25">
      <c r="A16" s="10">
        <v>9</v>
      </c>
      <c r="B16" s="13" t="s">
        <v>49</v>
      </c>
      <c r="C16" s="10">
        <v>0</v>
      </c>
      <c r="D16" s="10">
        <v>0</v>
      </c>
      <c r="E16" s="10">
        <v>0</v>
      </c>
      <c r="F16" s="10">
        <v>0</v>
      </c>
      <c r="G16" s="10">
        <v>0</v>
      </c>
    </row>
    <row r="17" spans="1:7" ht="30" x14ac:dyDescent="0.25">
      <c r="A17" s="10">
        <v>10</v>
      </c>
      <c r="B17" s="13" t="s">
        <v>50</v>
      </c>
      <c r="C17" s="10">
        <f>C8-C14-C15-C16</f>
        <v>432000</v>
      </c>
      <c r="D17" s="10">
        <f t="shared" ref="D17:G17" si="3">D8-D14-D15-D16</f>
        <v>432550</v>
      </c>
      <c r="E17" s="10">
        <f t="shared" si="3"/>
        <v>429040</v>
      </c>
      <c r="F17" s="10">
        <f t="shared" si="3"/>
        <v>418750</v>
      </c>
      <c r="G17" s="10">
        <f t="shared" si="3"/>
        <v>404400</v>
      </c>
    </row>
    <row r="18" spans="1:7" x14ac:dyDescent="0.25">
      <c r="A18" s="10">
        <v>11</v>
      </c>
      <c r="B18" s="13" t="s">
        <v>51</v>
      </c>
      <c r="C18" s="10">
        <f>C17*0.3</f>
        <v>129600</v>
      </c>
      <c r="D18" s="10">
        <f t="shared" ref="D18:G18" si="4">D17*0.3</f>
        <v>129765</v>
      </c>
      <c r="E18" s="10">
        <f t="shared" si="4"/>
        <v>128712</v>
      </c>
      <c r="F18" s="10">
        <f t="shared" si="4"/>
        <v>125625</v>
      </c>
      <c r="G18" s="10">
        <f t="shared" si="4"/>
        <v>121320</v>
      </c>
    </row>
    <row r="19" spans="1:7" ht="30" x14ac:dyDescent="0.25">
      <c r="A19" s="10">
        <v>12</v>
      </c>
      <c r="B19" s="13" t="s">
        <v>52</v>
      </c>
      <c r="C19" s="10">
        <f>C17-C18</f>
        <v>302400</v>
      </c>
      <c r="D19" s="10">
        <f t="shared" ref="D19:G19" si="5">D17-D18</f>
        <v>302785</v>
      </c>
      <c r="E19" s="10">
        <f t="shared" si="5"/>
        <v>300328</v>
      </c>
      <c r="F19" s="10">
        <f t="shared" si="5"/>
        <v>293125</v>
      </c>
      <c r="G19" s="10">
        <f t="shared" si="5"/>
        <v>283080</v>
      </c>
    </row>
    <row r="20" spans="1:7" x14ac:dyDescent="0.25">
      <c r="A20" s="10"/>
      <c r="B20" s="13"/>
      <c r="C20" s="10"/>
      <c r="D20" s="10"/>
      <c r="E20" s="10"/>
      <c r="F20" s="10"/>
      <c r="G20" s="10"/>
    </row>
    <row r="21" spans="1:7" x14ac:dyDescent="0.25">
      <c r="A21" s="10" t="s">
        <v>54</v>
      </c>
      <c r="B21" s="13" t="s">
        <v>55</v>
      </c>
      <c r="C21" s="10"/>
      <c r="D21" s="10"/>
      <c r="E21" s="10"/>
      <c r="F21" s="10"/>
      <c r="G21" s="10"/>
    </row>
    <row r="22" spans="1:7" ht="90" x14ac:dyDescent="0.25">
      <c r="A22" s="10">
        <v>13</v>
      </c>
      <c r="B22" s="13" t="s">
        <v>58</v>
      </c>
      <c r="C22" s="14">
        <f>C8*(C4/360)*20%</f>
        <v>30000</v>
      </c>
      <c r="D22" s="14">
        <f t="shared" ref="D22:G22" si="6">D8*(D4/360)*20%</f>
        <v>40666.666666666664</v>
      </c>
      <c r="E22" s="14">
        <f t="shared" si="6"/>
        <v>51333.333333333343</v>
      </c>
      <c r="F22" s="14">
        <f t="shared" si="6"/>
        <v>62500</v>
      </c>
      <c r="G22" s="14">
        <f t="shared" si="6"/>
        <v>78750</v>
      </c>
    </row>
    <row r="23" spans="1:7" x14ac:dyDescent="0.25">
      <c r="A23" s="10"/>
      <c r="B23" s="13"/>
      <c r="C23" s="10"/>
      <c r="D23" s="10"/>
      <c r="E23" s="10"/>
      <c r="F23" s="10"/>
      <c r="G23" s="10"/>
    </row>
    <row r="24" spans="1:7" x14ac:dyDescent="0.25">
      <c r="A24" s="10"/>
      <c r="B24" s="13" t="s">
        <v>56</v>
      </c>
      <c r="C24" s="14">
        <f>C19-C22</f>
        <v>272400</v>
      </c>
      <c r="D24" s="15">
        <f t="shared" ref="D24:G24" si="7">D19-D22</f>
        <v>262118.33333333334</v>
      </c>
      <c r="E24" s="14">
        <f t="shared" si="7"/>
        <v>248994.66666666666</v>
      </c>
      <c r="F24" s="14">
        <f t="shared" si="7"/>
        <v>230625</v>
      </c>
      <c r="G24" s="14">
        <f t="shared" si="7"/>
        <v>204330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75E3588147654284604D4E812B6D70" ma:contentTypeVersion="28" ma:contentTypeDescription="Create a new document." ma:contentTypeScope="" ma:versionID="3a08c31e4fc4a7e2c32eb1cced69c24d">
  <xsd:schema xmlns:xsd="http://www.w3.org/2001/XMLSchema" xmlns:xs="http://www.w3.org/2001/XMLSchema" xmlns:p="http://schemas.microsoft.com/office/2006/metadata/properties" xmlns:ns2="0a2451e9-b2b7-43a3-aada-52e3e0c35c47" targetNamespace="http://schemas.microsoft.com/office/2006/metadata/properties" ma:root="true" ma:fieldsID="25526ca13001591f69b306ad34a4051b" ns2:_="">
    <xsd:import namespace="0a2451e9-b2b7-43a3-aada-52e3e0c35c47"/>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2451e9-b2b7-43a3-aada-52e3e0c35c47"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Teachers" ma:index="17"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18"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19"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Teachers" ma:index="22" nillable="true" ma:displayName="Invited Teachers" ma:internalName="Invited_Teachers">
      <xsd:simpleType>
        <xsd:restriction base="dms:Note">
          <xsd:maxLength value="255"/>
        </xsd:restriction>
      </xsd:simpleType>
    </xsd:element>
    <xsd:element name="Invited_Students" ma:index="23" nillable="true" ma:displayName="Invited Students" ma:internalName="Invited_Student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Teacher_Only_SectionGroup" ma:index="25" nillable="true" ma:displayName="Has Teacher Only SectionGroup" ma:internalName="Has_Teacher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Teams_Channel_Section_Location" ma:index="28" nillable="true" ma:displayName="Teams Channel Section Location" ma:internalName="Teams_Channel_Section_Location">
      <xsd:simpleType>
        <xsd:restriction base="dms:Text"/>
      </xsd:simpleType>
    </xsd:element>
    <xsd:element name="MediaServiceMetadata" ma:index="29" nillable="true" ma:displayName="MediaServiceMetadata" ma:hidden="true" ma:internalName="MediaServiceMetadata" ma:readOnly="true">
      <xsd:simpleType>
        <xsd:restriction base="dms:Note"/>
      </xsd:simpleType>
    </xsd:element>
    <xsd:element name="MediaServiceFastMetadata" ma:index="30" nillable="true" ma:displayName="MediaServiceFastMetadata" ma:hidden="true" ma:internalName="MediaServiceFastMetadata" ma:readOnly="true">
      <xsd:simpleType>
        <xsd:restriction base="dms:Note"/>
      </xsd:simpleType>
    </xsd:element>
    <xsd:element name="MediaServiceSearchProperties" ma:index="31" nillable="true" ma:displayName="MediaServiceSearchProperties" ma:hidden="true" ma:internalName="MediaServiceSearchProperties" ma:readOnly="true">
      <xsd:simpleType>
        <xsd:restriction base="dms:Note"/>
      </xsd:simpleType>
    </xsd:element>
    <xsd:element name="MediaServiceDateTaken" ma:index="32" nillable="true" ma:displayName="MediaServiceDateTaken" ma:hidden="true" ma:indexed="true" ma:internalName="MediaServiceDateTaken" ma:readOnly="true">
      <xsd:simpleType>
        <xsd:restriction base="dms:Text"/>
      </xsd:simpleType>
    </xsd:element>
    <xsd:element name="MediaServiceGenerationTime" ma:index="33" nillable="true" ma:displayName="MediaServiceGenerationTime" ma:hidden="true" ma:internalName="MediaServiceGenerationTime" ma:readOnly="true">
      <xsd:simpleType>
        <xsd:restriction base="dms:Text"/>
      </xsd:simpleType>
    </xsd:element>
    <xsd:element name="MediaServiceEventHashCode" ma:index="34" nillable="true" ma:displayName="MediaServiceEventHashCode" ma:hidden="true" ma:internalName="MediaServiceEventHashCode" ma:readOnly="true">
      <xsd:simpleType>
        <xsd:restriction base="dms:Text"/>
      </xsd:simpleType>
    </xsd:element>
    <xsd:element name="MediaLengthInSeconds" ma:index="3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olderType xmlns="0a2451e9-b2b7-43a3-aada-52e3e0c35c47" xsi:nil="true"/>
    <CultureName xmlns="0a2451e9-b2b7-43a3-aada-52e3e0c35c47" xsi:nil="true"/>
    <LMS_Mappings xmlns="0a2451e9-b2b7-43a3-aada-52e3e0c35c47" xsi:nil="true"/>
    <Invited_Students xmlns="0a2451e9-b2b7-43a3-aada-52e3e0c35c47" xsi:nil="true"/>
    <IsNotebookLocked xmlns="0a2451e9-b2b7-43a3-aada-52e3e0c35c47" xsi:nil="true"/>
    <Math_Settings xmlns="0a2451e9-b2b7-43a3-aada-52e3e0c35c47" xsi:nil="true"/>
    <Self_Registration_Enabled xmlns="0a2451e9-b2b7-43a3-aada-52e3e0c35c47" xsi:nil="true"/>
    <Teachers xmlns="0a2451e9-b2b7-43a3-aada-52e3e0c35c47">
      <UserInfo>
        <DisplayName/>
        <AccountId xsi:nil="true"/>
        <AccountType/>
      </UserInfo>
    </Teachers>
    <Students xmlns="0a2451e9-b2b7-43a3-aada-52e3e0c35c47">
      <UserInfo>
        <DisplayName/>
        <AccountId xsi:nil="true"/>
        <AccountType/>
      </UserInfo>
    </Students>
    <Student_Groups xmlns="0a2451e9-b2b7-43a3-aada-52e3e0c35c47">
      <UserInfo>
        <DisplayName/>
        <AccountId xsi:nil="true"/>
        <AccountType/>
      </UserInfo>
    </Student_Groups>
    <Templates xmlns="0a2451e9-b2b7-43a3-aada-52e3e0c35c47" xsi:nil="true"/>
    <Has_Teacher_Only_SectionGroup xmlns="0a2451e9-b2b7-43a3-aada-52e3e0c35c47" xsi:nil="true"/>
    <NotebookType xmlns="0a2451e9-b2b7-43a3-aada-52e3e0c35c47" xsi:nil="true"/>
    <Distribution_Groups xmlns="0a2451e9-b2b7-43a3-aada-52e3e0c35c47" xsi:nil="true"/>
    <AppVersion xmlns="0a2451e9-b2b7-43a3-aada-52e3e0c35c47" xsi:nil="true"/>
    <Invited_Teachers xmlns="0a2451e9-b2b7-43a3-aada-52e3e0c35c47" xsi:nil="true"/>
    <Teams_Channel_Section_Location xmlns="0a2451e9-b2b7-43a3-aada-52e3e0c35c47" xsi:nil="true"/>
    <Owner xmlns="0a2451e9-b2b7-43a3-aada-52e3e0c35c47">
      <UserInfo>
        <DisplayName/>
        <AccountId xsi:nil="true"/>
        <AccountType/>
      </UserInfo>
    </Owner>
    <DefaultSectionNames xmlns="0a2451e9-b2b7-43a3-aada-52e3e0c35c47" xsi:nil="true"/>
    <TeamsChannelId xmlns="0a2451e9-b2b7-43a3-aada-52e3e0c35c47" xsi:nil="true"/>
    <Is_Collaboration_Space_Locked xmlns="0a2451e9-b2b7-43a3-aada-52e3e0c35c47" xsi:nil="true"/>
  </documentManagement>
</p:properties>
</file>

<file path=customXml/itemProps1.xml><?xml version="1.0" encoding="utf-8"?>
<ds:datastoreItem xmlns:ds="http://schemas.openxmlformats.org/officeDocument/2006/customXml" ds:itemID="{893DA894-B10B-4460-88BE-B23A11997EE3}"/>
</file>

<file path=customXml/itemProps2.xml><?xml version="1.0" encoding="utf-8"?>
<ds:datastoreItem xmlns:ds="http://schemas.openxmlformats.org/officeDocument/2006/customXml" ds:itemID="{DB283D0D-BB92-41DE-9279-48A9C8C6622C}"/>
</file>

<file path=customXml/itemProps3.xml><?xml version="1.0" encoding="utf-8"?>
<ds:datastoreItem xmlns:ds="http://schemas.openxmlformats.org/officeDocument/2006/customXml" ds:itemID="{D774D277-293D-43C8-9F96-EF35B3ABC6D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Invt_EOQ</vt:lpstr>
      <vt:lpstr>Receivable Mgt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2026-01-25T10:06:06Z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0x0101000A75E3588147654284604D4E812B6D70</vt:lpwstr>
  </property>
</Properties>
</file>