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5"/>
  </bookViews>
  <sheets>
    <sheet name="Chatbot" sheetId="1" r:id="rId1"/>
    <sheet name="NPV" sheetId="2" r:id="rId2"/>
    <sheet name="IRR" sheetId="3" r:id="rId3"/>
    <sheet name="PI" sheetId="4" r:id="rId4"/>
    <sheet name="Discounted Payback" sheetId="5" r:id="rId5"/>
    <sheet name="Risk Analysis_CB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0" i="6" l="1"/>
  <c r="Q67" i="6"/>
  <c r="P67" i="6"/>
  <c r="O67" i="6"/>
  <c r="N67" i="6"/>
  <c r="M67" i="6"/>
  <c r="L67" i="6"/>
  <c r="K67" i="6"/>
  <c r="Q65" i="6"/>
  <c r="P65" i="6"/>
  <c r="Q59" i="6"/>
  <c r="P59" i="6"/>
  <c r="O59" i="6"/>
  <c r="O65" i="6" s="1"/>
  <c r="N59" i="6"/>
  <c r="N65" i="6" s="1"/>
  <c r="M59" i="6"/>
  <c r="M65" i="6" s="1"/>
  <c r="L59" i="6"/>
  <c r="L65" i="6" s="1"/>
  <c r="K59" i="6"/>
  <c r="K65" i="6" s="1"/>
  <c r="H27" i="6"/>
  <c r="G27" i="6"/>
  <c r="K58" i="6" s="1"/>
  <c r="Q58" i="6" s="1"/>
  <c r="H26" i="6"/>
  <c r="G26" i="6"/>
  <c r="H25" i="6"/>
  <c r="G25" i="6"/>
  <c r="H24" i="6"/>
  <c r="G24" i="6"/>
  <c r="L38" i="6"/>
  <c r="M38" i="6"/>
  <c r="N38" i="6"/>
  <c r="O38" i="6"/>
  <c r="P38" i="6"/>
  <c r="Q38" i="6"/>
  <c r="K38" i="6"/>
  <c r="K37" i="6"/>
  <c r="Q37" i="6" s="1"/>
  <c r="K35" i="6"/>
  <c r="Q35" i="6" s="1"/>
  <c r="K34" i="6"/>
  <c r="N34" i="6" s="1"/>
  <c r="F36" i="6"/>
  <c r="D37" i="6" s="1"/>
  <c r="E36" i="6"/>
  <c r="D36" i="6"/>
  <c r="F35" i="6"/>
  <c r="E35" i="6"/>
  <c r="F33" i="6"/>
  <c r="D34" i="6" s="1"/>
  <c r="E33" i="6"/>
  <c r="Q46" i="6"/>
  <c r="P46" i="6"/>
  <c r="O46" i="6"/>
  <c r="N46" i="6"/>
  <c r="M46" i="6"/>
  <c r="L46" i="6"/>
  <c r="K46" i="6"/>
  <c r="O37" i="6"/>
  <c r="N37" i="6"/>
  <c r="M37" i="6"/>
  <c r="M35" i="6"/>
  <c r="L35" i="6"/>
  <c r="E27" i="6"/>
  <c r="D27" i="6"/>
  <c r="E26" i="6"/>
  <c r="D26" i="6"/>
  <c r="D25" i="6"/>
  <c r="E25" i="6"/>
  <c r="D24" i="6"/>
  <c r="E24" i="6"/>
  <c r="K29" i="6"/>
  <c r="K28" i="6"/>
  <c r="K27" i="6"/>
  <c r="L26" i="6"/>
  <c r="M26" i="6"/>
  <c r="N26" i="6"/>
  <c r="O26" i="6"/>
  <c r="P26" i="6"/>
  <c r="Q26" i="6"/>
  <c r="K26" i="6"/>
  <c r="L25" i="6"/>
  <c r="M25" i="6"/>
  <c r="N25" i="6"/>
  <c r="O25" i="6"/>
  <c r="P25" i="6"/>
  <c r="Q25" i="6"/>
  <c r="K25" i="6"/>
  <c r="L24" i="6"/>
  <c r="M24" i="6"/>
  <c r="N24" i="6"/>
  <c r="O24" i="6"/>
  <c r="P24" i="6"/>
  <c r="Q24" i="6"/>
  <c r="K24" i="6"/>
  <c r="L23" i="6"/>
  <c r="M23" i="6"/>
  <c r="N23" i="6"/>
  <c r="O23" i="6"/>
  <c r="P23" i="6"/>
  <c r="Q23" i="6"/>
  <c r="K23" i="6"/>
  <c r="L22" i="6"/>
  <c r="M22" i="6"/>
  <c r="N22" i="6"/>
  <c r="O22" i="6"/>
  <c r="P22" i="6"/>
  <c r="Q22" i="6"/>
  <c r="K22" i="6"/>
  <c r="L21" i="6"/>
  <c r="M21" i="6"/>
  <c r="N21" i="6"/>
  <c r="O21" i="6"/>
  <c r="P21" i="6"/>
  <c r="Q21" i="6"/>
  <c r="K21" i="6"/>
  <c r="L20" i="6"/>
  <c r="M20" i="6"/>
  <c r="N20" i="6"/>
  <c r="O20" i="6"/>
  <c r="P20" i="6"/>
  <c r="Q20" i="6"/>
  <c r="K20" i="6"/>
  <c r="L18" i="6"/>
  <c r="M18" i="6"/>
  <c r="N18" i="6"/>
  <c r="O18" i="6"/>
  <c r="P18" i="6"/>
  <c r="Q18" i="6"/>
  <c r="K18" i="6"/>
  <c r="Q17" i="6"/>
  <c r="P17" i="6"/>
  <c r="O17" i="6"/>
  <c r="N17" i="6"/>
  <c r="M17" i="6"/>
  <c r="L17" i="6"/>
  <c r="K17" i="6"/>
  <c r="L15" i="6"/>
  <c r="M15" i="6"/>
  <c r="N15" i="6"/>
  <c r="O15" i="6"/>
  <c r="P15" i="6"/>
  <c r="Q15" i="6"/>
  <c r="K15" i="6"/>
  <c r="Q16" i="6"/>
  <c r="P16" i="6"/>
  <c r="O16" i="6"/>
  <c r="N16" i="6"/>
  <c r="M16" i="6"/>
  <c r="L16" i="6"/>
  <c r="K16" i="6"/>
  <c r="L14" i="6"/>
  <c r="M14" i="6"/>
  <c r="N14" i="6"/>
  <c r="O14" i="6"/>
  <c r="P14" i="6"/>
  <c r="Q14" i="6"/>
  <c r="K14" i="6"/>
  <c r="Q13" i="6"/>
  <c r="P13" i="6"/>
  <c r="O13" i="6"/>
  <c r="N13" i="6"/>
  <c r="M13" i="6"/>
  <c r="L13" i="6"/>
  <c r="K13" i="6"/>
  <c r="K55" i="6" l="1"/>
  <c r="O55" i="6" s="1"/>
  <c r="K56" i="6"/>
  <c r="Q56" i="6" s="1"/>
  <c r="Q55" i="6"/>
  <c r="L58" i="6"/>
  <c r="M58" i="6"/>
  <c r="O58" i="6"/>
  <c r="M55" i="6"/>
  <c r="P58" i="6"/>
  <c r="N58" i="6"/>
  <c r="P37" i="6"/>
  <c r="O35" i="6"/>
  <c r="N36" i="6"/>
  <c r="N35" i="6"/>
  <c r="P35" i="6"/>
  <c r="F37" i="6"/>
  <c r="D38" i="6" s="1"/>
  <c r="E37" i="6"/>
  <c r="E34" i="6"/>
  <c r="F34" i="6" s="1"/>
  <c r="D35" i="6" s="1"/>
  <c r="O34" i="6"/>
  <c r="P34" i="6"/>
  <c r="P36" i="6" s="1"/>
  <c r="Q34" i="6"/>
  <c r="Q36" i="6" s="1"/>
  <c r="K36" i="6"/>
  <c r="L37" i="6"/>
  <c r="L34" i="6"/>
  <c r="L36" i="6" s="1"/>
  <c r="M34" i="6"/>
  <c r="M36" i="6" s="1"/>
  <c r="K19" i="5"/>
  <c r="K18" i="5"/>
  <c r="N9" i="5"/>
  <c r="N10" i="5" s="1"/>
  <c r="N11" i="5" s="1"/>
  <c r="N12" i="5" s="1"/>
  <c r="N13" i="5" s="1"/>
  <c r="N14" i="5" s="1"/>
  <c r="N8" i="5"/>
  <c r="N7" i="5"/>
  <c r="E9" i="5"/>
  <c r="E10" i="5" s="1"/>
  <c r="E11" i="5" s="1"/>
  <c r="E8" i="5"/>
  <c r="E7" i="5"/>
  <c r="D6" i="4"/>
  <c r="D5" i="4"/>
  <c r="B24" i="3"/>
  <c r="B22" i="3"/>
  <c r="B21" i="3"/>
  <c r="B20" i="3"/>
  <c r="B19" i="3"/>
  <c r="J15" i="3"/>
  <c r="J14" i="3"/>
  <c r="I11" i="3"/>
  <c r="I12" i="3"/>
  <c r="J12" i="3" s="1"/>
  <c r="I13" i="3"/>
  <c r="I10" i="3"/>
  <c r="J10" i="3" s="1"/>
  <c r="J13" i="3"/>
  <c r="J11" i="3"/>
  <c r="D15" i="3"/>
  <c r="D14" i="3"/>
  <c r="D11" i="3"/>
  <c r="D12" i="3"/>
  <c r="D13" i="3"/>
  <c r="D10" i="3"/>
  <c r="C11" i="3"/>
  <c r="C12" i="3"/>
  <c r="C13" i="3"/>
  <c r="C10" i="3"/>
  <c r="J38" i="2"/>
  <c r="J30" i="2"/>
  <c r="J31" i="2"/>
  <c r="J32" i="2"/>
  <c r="J33" i="2"/>
  <c r="J34" i="2"/>
  <c r="J35" i="2"/>
  <c r="J36" i="2"/>
  <c r="J37" i="2"/>
  <c r="I30" i="2"/>
  <c r="I31" i="2"/>
  <c r="I32" i="2"/>
  <c r="I33" i="2"/>
  <c r="I34" i="2"/>
  <c r="I35" i="2"/>
  <c r="I36" i="2"/>
  <c r="H34" i="2"/>
  <c r="H35" i="2" s="1"/>
  <c r="H36" i="2" s="1"/>
  <c r="H29" i="2"/>
  <c r="H30" i="2"/>
  <c r="I29" i="2"/>
  <c r="J29" i="2" s="1"/>
  <c r="C19" i="2"/>
  <c r="C18" i="2"/>
  <c r="D36" i="2"/>
  <c r="D34" i="2"/>
  <c r="D30" i="2"/>
  <c r="D31" i="2"/>
  <c r="D32" i="2"/>
  <c r="D33" i="2"/>
  <c r="D29" i="2"/>
  <c r="C30" i="2"/>
  <c r="C31" i="2"/>
  <c r="C32" i="2"/>
  <c r="C33" i="2"/>
  <c r="C29" i="2"/>
  <c r="B19" i="2"/>
  <c r="B18" i="2"/>
  <c r="H11" i="2"/>
  <c r="C17" i="2" s="1"/>
  <c r="C22" i="2" s="1"/>
  <c r="G11" i="2"/>
  <c r="B17" i="2" s="1"/>
  <c r="B22" i="2" s="1"/>
  <c r="C14" i="2"/>
  <c r="C15" i="2" s="1"/>
  <c r="B14" i="2"/>
  <c r="B15" i="2" s="1"/>
  <c r="F12" i="1"/>
  <c r="D10" i="1"/>
  <c r="F10" i="1"/>
  <c r="F6" i="1"/>
  <c r="F7" i="1"/>
  <c r="F8" i="1"/>
  <c r="F9" i="1"/>
  <c r="F5" i="1"/>
  <c r="E6" i="1"/>
  <c r="E7" i="1"/>
  <c r="E8" i="1"/>
  <c r="E9" i="1"/>
  <c r="E5" i="1"/>
  <c r="D6" i="1"/>
  <c r="D7" i="1"/>
  <c r="D8" i="1"/>
  <c r="D9" i="1"/>
  <c r="D5" i="1"/>
  <c r="L55" i="6" l="1"/>
  <c r="N55" i="6"/>
  <c r="K57" i="6"/>
  <c r="K60" i="6" s="1"/>
  <c r="K62" i="6" s="1"/>
  <c r="K63" i="6" s="1"/>
  <c r="K64" i="6" s="1"/>
  <c r="K66" i="6" s="1"/>
  <c r="K68" i="6" s="1"/>
  <c r="Q57" i="6"/>
  <c r="Q60" i="6" s="1"/>
  <c r="Q62" i="6" s="1"/>
  <c r="Q63" i="6" s="1"/>
  <c r="Q64" i="6" s="1"/>
  <c r="Q66" i="6" s="1"/>
  <c r="Q68" i="6" s="1"/>
  <c r="N56" i="6"/>
  <c r="M56" i="6"/>
  <c r="P56" i="6"/>
  <c r="L56" i="6"/>
  <c r="L57" i="6" s="1"/>
  <c r="L60" i="6" s="1"/>
  <c r="L62" i="6" s="1"/>
  <c r="O56" i="6"/>
  <c r="O57" i="6" s="1"/>
  <c r="O60" i="6" s="1"/>
  <c r="O62" i="6" s="1"/>
  <c r="O63" i="6" s="1"/>
  <c r="O64" i="6" s="1"/>
  <c r="O66" i="6" s="1"/>
  <c r="O68" i="6" s="1"/>
  <c r="P55" i="6"/>
  <c r="P57" i="6" s="1"/>
  <c r="P60" i="6" s="1"/>
  <c r="P62" i="6" s="1"/>
  <c r="P63" i="6" s="1"/>
  <c r="P64" i="6" s="1"/>
  <c r="P66" i="6" s="1"/>
  <c r="P68" i="6" s="1"/>
  <c r="N57" i="6"/>
  <c r="N60" i="6" s="1"/>
  <c r="N62" i="6" s="1"/>
  <c r="N63" i="6" s="1"/>
  <c r="N64" i="6" s="1"/>
  <c r="N66" i="6" s="1"/>
  <c r="N68" i="6" s="1"/>
  <c r="M57" i="6"/>
  <c r="M60" i="6" s="1"/>
  <c r="M62" i="6" s="1"/>
  <c r="M63" i="6" s="1"/>
  <c r="M64" i="6" s="1"/>
  <c r="M66" i="6" s="1"/>
  <c r="M68" i="6" s="1"/>
  <c r="O36" i="6"/>
  <c r="F38" i="6"/>
  <c r="D39" i="6" s="1"/>
  <c r="E38" i="6"/>
  <c r="K49" i="6"/>
  <c r="K44" i="6"/>
  <c r="K39" i="6"/>
  <c r="K41" i="6" s="1"/>
  <c r="K42" i="6" s="1"/>
  <c r="K43" i="6" s="1"/>
  <c r="K45" i="6" s="1"/>
  <c r="K47" i="6" s="1"/>
  <c r="L44" i="6"/>
  <c r="L39" i="6"/>
  <c r="L41" i="6" s="1"/>
  <c r="L42" i="6" s="1"/>
  <c r="L43" i="6" s="1"/>
  <c r="H31" i="2"/>
  <c r="C20" i="2"/>
  <c r="C21" i="2" s="1"/>
  <c r="C23" i="2" s="1"/>
  <c r="B20" i="2"/>
  <c r="B21" i="2" s="1"/>
  <c r="B23" i="2" s="1"/>
  <c r="B29" i="2" s="1"/>
  <c r="B30" i="2" s="1"/>
  <c r="B31" i="2" s="1"/>
  <c r="B32" i="2" s="1"/>
  <c r="B33" i="2" s="1"/>
  <c r="L63" i="6" l="1"/>
  <c r="L64" i="6" s="1"/>
  <c r="L66" i="6" s="1"/>
  <c r="L68" i="6" s="1"/>
  <c r="K69" i="6" s="1"/>
  <c r="K71" i="6" s="1"/>
  <c r="L45" i="6"/>
  <c r="L47" i="6" s="1"/>
  <c r="E39" i="6"/>
  <c r="F39" i="6" s="1"/>
  <c r="H32" i="2"/>
  <c r="N44" i="6" l="1"/>
  <c r="N39" i="6"/>
  <c r="N41" i="6" s="1"/>
  <c r="N42" i="6" s="1"/>
  <c r="N43" i="6" s="1"/>
  <c r="N45" i="6" s="1"/>
  <c r="N47" i="6" s="1"/>
  <c r="M44" i="6"/>
  <c r="Q39" i="6"/>
  <c r="Q41" i="6" s="1"/>
  <c r="M39" i="6"/>
  <c r="M41" i="6" s="1"/>
  <c r="M42" i="6" s="1"/>
  <c r="M43" i="6" s="1"/>
  <c r="M45" i="6" s="1"/>
  <c r="M47" i="6" s="1"/>
  <c r="H33" i="2"/>
  <c r="Q44" i="6" l="1"/>
  <c r="P44" i="6"/>
  <c r="P39" i="6"/>
  <c r="P41" i="6" s="1"/>
  <c r="P42" i="6" s="1"/>
  <c r="P43" i="6" s="1"/>
  <c r="O44" i="6"/>
  <c r="O39" i="6"/>
  <c r="O41" i="6" s="1"/>
  <c r="Q42" i="6"/>
  <c r="Q43" i="6" s="1"/>
  <c r="Q45" i="6" l="1"/>
  <c r="Q47" i="6" s="1"/>
  <c r="O42" i="6"/>
  <c r="O43" i="6" s="1"/>
  <c r="O45" i="6" s="1"/>
  <c r="O47" i="6" s="1"/>
  <c r="P45" i="6"/>
  <c r="P47" i="6" s="1"/>
  <c r="K48" i="6" l="1"/>
  <c r="K50" i="6" s="1"/>
</calcChain>
</file>

<file path=xl/sharedStrings.xml><?xml version="1.0" encoding="utf-8"?>
<sst xmlns="http://schemas.openxmlformats.org/spreadsheetml/2006/main" count="234" uniqueCount="133">
  <si>
    <t>Years</t>
  </si>
  <si>
    <t xml:space="preserve">Sales </t>
  </si>
  <si>
    <t xml:space="preserve">Annual Savings </t>
  </si>
  <si>
    <t>Estimated Revenue</t>
  </si>
  <si>
    <t>C0</t>
  </si>
  <si>
    <t>Cash outflow</t>
  </si>
  <si>
    <t>cost of capital</t>
  </si>
  <si>
    <t>PVIF@10%</t>
  </si>
  <si>
    <t>PV Estimated Cash Inflow</t>
  </si>
  <si>
    <t>NPV</t>
  </si>
  <si>
    <t>Positive</t>
  </si>
  <si>
    <t>Accept the project</t>
  </si>
  <si>
    <t>Automatic Machine (Rs.)</t>
  </si>
  <si>
    <t>Ordinary Machine (Rs.)</t>
  </si>
  <si>
    <t>Sales</t>
  </si>
  <si>
    <t>Raw material cost</t>
  </si>
  <si>
    <t>Cost of labour</t>
  </si>
  <si>
    <t>Variable overheads</t>
  </si>
  <si>
    <t>Estimated</t>
  </si>
  <si>
    <t>Estimation of Cash Inflow</t>
  </si>
  <si>
    <t xml:space="preserve">Contribution (sales - variable cost) </t>
  </si>
  <si>
    <t>total variable cost</t>
  </si>
  <si>
    <t>(-) fixed cost</t>
  </si>
  <si>
    <t>(-) Variable Costs</t>
  </si>
  <si>
    <t xml:space="preserve">Depreciation </t>
  </si>
  <si>
    <t xml:space="preserve">Caculation of Depreciation </t>
  </si>
  <si>
    <t>Instment cost</t>
  </si>
  <si>
    <t>Economic life</t>
  </si>
  <si>
    <t xml:space="preserve">Depreciation per annum =Straight line depreciation method =(Investment cost - SV)/Economic life ) </t>
  </si>
  <si>
    <t>Profit before tax</t>
  </si>
  <si>
    <t>(-) Tax @50%</t>
  </si>
  <si>
    <t>Net profit</t>
  </si>
  <si>
    <t xml:space="preserve">(+) Depreciation </t>
  </si>
  <si>
    <t>Automatic Machine</t>
  </si>
  <si>
    <t>Year</t>
  </si>
  <si>
    <t>Estimated cash inflow</t>
  </si>
  <si>
    <t>WACC</t>
  </si>
  <si>
    <t>Interest</t>
  </si>
  <si>
    <t>PVIF @8%</t>
  </si>
  <si>
    <t>PV of Cash inflows</t>
  </si>
  <si>
    <t>PV of Cash inflows - C0</t>
  </si>
  <si>
    <t>negative</t>
  </si>
  <si>
    <t>Reject</t>
  </si>
  <si>
    <t>Oridinary  Maching</t>
  </si>
  <si>
    <t>postive</t>
  </si>
  <si>
    <t>Select</t>
  </si>
  <si>
    <t>IRR = Rate at which NPV = 0</t>
  </si>
  <si>
    <t>AI-based warehouse automation</t>
  </si>
  <si>
    <t>k</t>
  </si>
  <si>
    <t>Cash Inflows</t>
  </si>
  <si>
    <t>Trial 1</t>
  </si>
  <si>
    <t>PVIF@11%</t>
  </si>
  <si>
    <t>PV of Cash flows</t>
  </si>
  <si>
    <t>r = 11%</t>
  </si>
  <si>
    <t>positive</t>
  </si>
  <si>
    <t>r = 13%</t>
  </si>
  <si>
    <t>PVIF@13%</t>
  </si>
  <si>
    <t>LDF (%)</t>
  </si>
  <si>
    <t>Diff LDF &amp; HDF</t>
  </si>
  <si>
    <t>PVLDF</t>
  </si>
  <si>
    <t>PVHDF</t>
  </si>
  <si>
    <t>IRR</t>
  </si>
  <si>
    <t>&gt; k</t>
  </si>
  <si>
    <t>Accept</t>
  </si>
  <si>
    <t>PI = Sum of PV of Cash inflows/C0</t>
  </si>
  <si>
    <t>Automatic and Ordinary machince</t>
  </si>
  <si>
    <t xml:space="preserve">PI of Automatic Machine </t>
  </si>
  <si>
    <t>&lt;1</t>
  </si>
  <si>
    <t>reject</t>
  </si>
  <si>
    <t>PI of ordinary machine</t>
  </si>
  <si>
    <t>&gt;1</t>
  </si>
  <si>
    <t>accept</t>
  </si>
  <si>
    <t>Cumulative PV of cash inflows</t>
  </si>
  <si>
    <t>Discounted Payback period of Automatic Machine &gt; Its standard life i.e. 5</t>
  </si>
  <si>
    <t>Hence reject the project</t>
  </si>
  <si>
    <t>7 years + how much to be recovered from 8th year</t>
  </si>
  <si>
    <t>Discounted Payback period</t>
  </si>
  <si>
    <t>Discounted Payback period for ordinary machine = 7 years 1.78 months &lt; standard live (8 years)</t>
  </si>
  <si>
    <t xml:space="preserve">Accept the project </t>
  </si>
  <si>
    <t>units</t>
  </si>
  <si>
    <t>price</t>
  </si>
  <si>
    <t>Variable cost</t>
  </si>
  <si>
    <t>Fixed cost</t>
  </si>
  <si>
    <t>Estimated cash flow</t>
  </si>
  <si>
    <t>Discount it</t>
  </si>
  <si>
    <t>NPV/IRR/PI/DPB</t>
  </si>
  <si>
    <t xml:space="preserve">Independent variables </t>
  </si>
  <si>
    <t xml:space="preserve">Dependend variable </t>
  </si>
  <si>
    <t>Sr. No.</t>
  </si>
  <si>
    <t>Particulars</t>
  </si>
  <si>
    <t>Amount/units</t>
  </si>
  <si>
    <t>Investment (Rs.’000)</t>
  </si>
  <si>
    <t>Sales volume (units ‘000)</t>
  </si>
  <si>
    <t>Unit selling price (Rs.)</t>
  </si>
  <si>
    <t>Unit variable cost (Rs.)</t>
  </si>
  <si>
    <t>Annual fixed costs (Rs.’000)</t>
  </si>
  <si>
    <t>Depreciation (%) (WDM)</t>
  </si>
  <si>
    <t>Corporate tax rate (%)</t>
  </si>
  <si>
    <t>Discount rate (%)</t>
  </si>
  <si>
    <t>Variable Cost</t>
  </si>
  <si>
    <t>Fixed Cost</t>
  </si>
  <si>
    <t>Selling  price</t>
  </si>
  <si>
    <t>Expected Scenario</t>
  </si>
  <si>
    <t>sales volume (units '000)</t>
  </si>
  <si>
    <t>Estimation of Cash Flows Rs. '000</t>
  </si>
  <si>
    <t>(-) VC</t>
  </si>
  <si>
    <t>Contribution (Sales -VC)</t>
  </si>
  <si>
    <t>(-) FC</t>
  </si>
  <si>
    <t>(-) Depreciation (25% WDM)</t>
  </si>
  <si>
    <t>EBIT</t>
  </si>
  <si>
    <t>(-) Interest</t>
  </si>
  <si>
    <t>EBT</t>
  </si>
  <si>
    <t>(-) Tax @35%</t>
  </si>
  <si>
    <t>PAT</t>
  </si>
  <si>
    <t>Discount @ 12% (PVIF@12%)</t>
  </si>
  <si>
    <t>PV of cash inflows</t>
  </si>
  <si>
    <t>Sum of PV of cash inflows</t>
  </si>
  <si>
    <t xml:space="preserve">Initial investment </t>
  </si>
  <si>
    <t xml:space="preserve">NPV </t>
  </si>
  <si>
    <t>Postive</t>
  </si>
  <si>
    <t>Proposed Change</t>
  </si>
  <si>
    <t>Pesimistic</t>
  </si>
  <si>
    <t>Optimistic</t>
  </si>
  <si>
    <t>Calculation of Depreciation (WDM)</t>
  </si>
  <si>
    <t>Investment</t>
  </si>
  <si>
    <t>Depreciation (25%)</t>
  </si>
  <si>
    <t xml:space="preserve">Balance </t>
  </si>
  <si>
    <t>.</t>
  </si>
  <si>
    <t>Pessmistic scenario</t>
  </si>
  <si>
    <t>S1</t>
  </si>
  <si>
    <t>S2</t>
  </si>
  <si>
    <t>Negative</t>
  </si>
  <si>
    <t xml:space="preserve">Reject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</si>
</sst>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4A7EBB"/>
      </left>
      <right style="thin">
        <color rgb="FF4A7EBB"/>
      </right>
      <top style="thin">
        <color rgb="FF4A7EBB"/>
      </top>
      <bottom style="thin">
        <color rgb="FF4A7EBB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0" applyNumberFormat="1"/>
    <xf numFmtId="0" fontId="3" fillId="0" borderId="0" xfId="2"/>
    <xf numFmtId="0" fontId="2" fillId="0" borderId="0" xfId="0" applyFont="1"/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6" fillId="0" borderId="0" xfId="0" applyFont="1" applyFill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5" fillId="0" borderId="0" xfId="0" applyFont="1" applyFill="1" applyBorder="1" applyAlignment="1">
      <alignment horizontal="left" vertical="center" wrapText="1" readingOrder="1"/>
    </xf>
    <xf numFmtId="10" fontId="0" fillId="0" borderId="0" xfId="0" applyNumberFormat="1"/>
    <xf numFmtId="164" fontId="2" fillId="0" borderId="0" xfId="1" applyNumberFormat="1" applyFont="1"/>
    <xf numFmtId="0" fontId="6" fillId="2" borderId="1" xfId="0" applyFont="1" applyFill="1" applyBorder="1" applyAlignment="1">
      <alignment horizontal="left" vertical="center" wrapText="1" readingOrder="1"/>
    </xf>
    <xf numFmtId="0" fontId="0" fillId="2" borderId="0" xfId="0" applyFill="1"/>
    <xf numFmtId="0" fontId="6" fillId="2" borderId="0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indent="2"/>
    </xf>
    <xf numFmtId="0" fontId="7" fillId="3" borderId="2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6" fillId="5" borderId="4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left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left" vertical="center" wrapText="1" readingOrder="1"/>
    </xf>
    <xf numFmtId="9" fontId="6" fillId="5" borderId="4" xfId="0" applyNumberFormat="1" applyFont="1" applyFill="1" applyBorder="1" applyAlignment="1">
      <alignment horizontal="center" vertical="center" wrapText="1" readingOrder="1"/>
    </xf>
    <xf numFmtId="9" fontId="6" fillId="4" borderId="4" xfId="0" applyNumberFormat="1" applyFont="1" applyFill="1" applyBorder="1" applyAlignment="1">
      <alignment horizontal="center" vertical="center" wrapText="1" readingOrder="1"/>
    </xf>
    <xf numFmtId="1" fontId="0" fillId="0" borderId="0" xfId="0" applyNumberFormat="1"/>
    <xf numFmtId="1" fontId="2" fillId="0" borderId="0" xfId="0" applyNumberFormat="1" applyFont="1"/>
    <xf numFmtId="0" fontId="2" fillId="2" borderId="0" xfId="0" applyFont="1" applyFill="1" applyAlignment="1">
      <alignment wrapText="1"/>
    </xf>
    <xf numFmtId="9" fontId="0" fillId="2" borderId="0" xfId="0" applyNumberFormat="1" applyFill="1"/>
    <xf numFmtId="9" fontId="6" fillId="2" borderId="5" xfId="0" applyNumberFormat="1" applyFont="1" applyFill="1" applyBorder="1" applyAlignment="1">
      <alignment horizontal="right" wrapText="1" readingOrder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VIF@10%2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PVIF@13%25" TargetMode="External"/><Relationship Id="rId1" Type="http://schemas.openxmlformats.org/officeDocument/2006/relationships/hyperlink" Target="mailto:PVIF@11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F12" sqref="F12"/>
    </sheetView>
  </sheetViews>
  <sheetFormatPr defaultRowHeight="15" x14ac:dyDescent="0.25"/>
  <cols>
    <col min="1" max="1" width="13.28515625" bestFit="1" customWidth="1"/>
    <col min="2" max="2" width="12.5703125" bestFit="1" customWidth="1"/>
  </cols>
  <sheetData>
    <row r="1" spans="1:8" x14ac:dyDescent="0.25">
      <c r="A1" t="s">
        <v>4</v>
      </c>
      <c r="B1" t="s">
        <v>5</v>
      </c>
      <c r="C1" s="3">
        <v>50</v>
      </c>
    </row>
    <row r="2" spans="1:8" x14ac:dyDescent="0.25">
      <c r="A2" t="s">
        <v>6</v>
      </c>
      <c r="C2" s="1">
        <v>0.1</v>
      </c>
    </row>
    <row r="4" spans="1:8" x14ac:dyDescent="0.25">
      <c r="A4" t="s">
        <v>0</v>
      </c>
      <c r="B4" t="s">
        <v>1</v>
      </c>
      <c r="C4" t="s">
        <v>2</v>
      </c>
      <c r="D4" t="s">
        <v>3</v>
      </c>
      <c r="E4" s="2" t="s">
        <v>7</v>
      </c>
      <c r="F4" t="s">
        <v>8</v>
      </c>
    </row>
    <row r="5" spans="1:8" x14ac:dyDescent="0.25">
      <c r="A5">
        <v>1</v>
      </c>
      <c r="B5">
        <v>7</v>
      </c>
      <c r="C5">
        <v>18</v>
      </c>
      <c r="D5">
        <f>B5+C5</f>
        <v>25</v>
      </c>
      <c r="E5">
        <f>1/(1+0.1)^A5</f>
        <v>0.90909090909090906</v>
      </c>
      <c r="F5">
        <f>D5*E5</f>
        <v>22.727272727272727</v>
      </c>
    </row>
    <row r="6" spans="1:8" x14ac:dyDescent="0.25">
      <c r="A6">
        <v>2</v>
      </c>
      <c r="B6">
        <v>7</v>
      </c>
      <c r="C6">
        <v>18</v>
      </c>
      <c r="D6">
        <f t="shared" ref="D6:D9" si="0">B6+C6</f>
        <v>25</v>
      </c>
      <c r="E6">
        <f t="shared" ref="E6:E9" si="1">1/(1+0.1)^A6</f>
        <v>0.82644628099173545</v>
      </c>
      <c r="F6">
        <f t="shared" ref="F6:F9" si="2">D6*E6</f>
        <v>20.661157024793386</v>
      </c>
    </row>
    <row r="7" spans="1:8" x14ac:dyDescent="0.25">
      <c r="A7">
        <v>3</v>
      </c>
      <c r="B7">
        <v>7</v>
      </c>
      <c r="C7">
        <v>18</v>
      </c>
      <c r="D7">
        <f t="shared" si="0"/>
        <v>25</v>
      </c>
      <c r="E7">
        <f t="shared" si="1"/>
        <v>0.75131480090157754</v>
      </c>
      <c r="F7">
        <f t="shared" si="2"/>
        <v>18.782870022539438</v>
      </c>
    </row>
    <row r="8" spans="1:8" x14ac:dyDescent="0.25">
      <c r="A8">
        <v>4</v>
      </c>
      <c r="B8">
        <v>7</v>
      </c>
      <c r="C8">
        <v>18</v>
      </c>
      <c r="D8">
        <f t="shared" si="0"/>
        <v>25</v>
      </c>
      <c r="E8">
        <f t="shared" si="1"/>
        <v>0.68301345536507052</v>
      </c>
      <c r="F8">
        <f t="shared" si="2"/>
        <v>17.075336384126764</v>
      </c>
    </row>
    <row r="9" spans="1:8" x14ac:dyDescent="0.25">
      <c r="A9">
        <v>5</v>
      </c>
      <c r="B9">
        <v>7</v>
      </c>
      <c r="C9">
        <v>18</v>
      </c>
      <c r="D9">
        <f t="shared" si="0"/>
        <v>25</v>
      </c>
      <c r="E9">
        <f t="shared" si="1"/>
        <v>0.62092132305915493</v>
      </c>
      <c r="F9">
        <f t="shared" si="2"/>
        <v>15.523033076478873</v>
      </c>
    </row>
    <row r="10" spans="1:8" x14ac:dyDescent="0.25">
      <c r="D10" s="3">
        <f>SUM(D5:D9)</f>
        <v>125</v>
      </c>
      <c r="F10" s="3">
        <f>SUM(F5:F9)</f>
        <v>94.769669235211182</v>
      </c>
    </row>
    <row r="12" spans="1:8" x14ac:dyDescent="0.25">
      <c r="B12" s="3" t="s">
        <v>9</v>
      </c>
      <c r="F12" s="3">
        <f>F10-C1</f>
        <v>44.769669235211182</v>
      </c>
      <c r="G12" t="s">
        <v>10</v>
      </c>
      <c r="H12" t="s">
        <v>11</v>
      </c>
    </row>
  </sheetData>
  <hyperlinks>
    <hyperlink ref="E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opLeftCell="A25" zoomScale="120" zoomScaleNormal="120" workbookViewId="0">
      <selection activeCell="I29" sqref="I29"/>
    </sheetView>
  </sheetViews>
  <sheetFormatPr defaultRowHeight="15" x14ac:dyDescent="0.25"/>
  <cols>
    <col min="1" max="1" width="16.28515625" bestFit="1" customWidth="1"/>
    <col min="2" max="2" width="13.42578125" customWidth="1"/>
    <col min="3" max="3" width="15.28515625" customWidth="1"/>
    <col min="6" max="6" width="25.28515625" bestFit="1" customWidth="1"/>
  </cols>
  <sheetData>
    <row r="1" spans="1:8" ht="30.75" thickBot="1" x14ac:dyDescent="0.3">
      <c r="A1" s="4" t="s">
        <v>18</v>
      </c>
      <c r="B1" s="5" t="s">
        <v>12</v>
      </c>
      <c r="C1" s="5" t="s">
        <v>13</v>
      </c>
    </row>
    <row r="2" spans="1:8" ht="15.75" thickBot="1" x14ac:dyDescent="0.3">
      <c r="A2" s="6" t="s">
        <v>14</v>
      </c>
      <c r="B2" s="6">
        <v>150000</v>
      </c>
      <c r="C2" s="6">
        <v>150000</v>
      </c>
    </row>
    <row r="3" spans="1:8" ht="30.75" thickBot="1" x14ac:dyDescent="0.3">
      <c r="A3" s="6" t="s">
        <v>15</v>
      </c>
      <c r="B3" s="6">
        <v>50000</v>
      </c>
      <c r="C3" s="6">
        <v>50000</v>
      </c>
    </row>
    <row r="4" spans="1:8" ht="15.75" thickBot="1" x14ac:dyDescent="0.3">
      <c r="A4" s="6" t="s">
        <v>16</v>
      </c>
      <c r="B4" s="6">
        <v>12000</v>
      </c>
      <c r="C4" s="6">
        <v>60000</v>
      </c>
    </row>
    <row r="5" spans="1:8" ht="30.75" thickBot="1" x14ac:dyDescent="0.3">
      <c r="A5" s="6" t="s">
        <v>17</v>
      </c>
      <c r="B5" s="6">
        <v>24000</v>
      </c>
      <c r="C5" s="6">
        <v>20000</v>
      </c>
    </row>
    <row r="7" spans="1:8" ht="30.75" thickBot="1" x14ac:dyDescent="0.3">
      <c r="A7" s="7" t="s">
        <v>19</v>
      </c>
      <c r="F7" t="s">
        <v>25</v>
      </c>
    </row>
    <row r="8" spans="1:8" ht="60.75" thickBot="1" x14ac:dyDescent="0.3">
      <c r="B8" s="5" t="s">
        <v>12</v>
      </c>
      <c r="C8" s="5" t="s">
        <v>13</v>
      </c>
      <c r="G8" s="5" t="s">
        <v>12</v>
      </c>
      <c r="H8" s="5" t="s">
        <v>13</v>
      </c>
    </row>
    <row r="9" spans="1:8" ht="15.75" thickBot="1" x14ac:dyDescent="0.3">
      <c r="A9" s="12" t="s">
        <v>14</v>
      </c>
      <c r="B9" s="6">
        <v>150000</v>
      </c>
      <c r="C9" s="6">
        <v>150000</v>
      </c>
      <c r="F9" t="s">
        <v>26</v>
      </c>
      <c r="G9">
        <v>224000</v>
      </c>
      <c r="H9">
        <v>60000</v>
      </c>
    </row>
    <row r="10" spans="1:8" ht="15.75" thickBot="1" x14ac:dyDescent="0.3">
      <c r="A10" s="13" t="s">
        <v>23</v>
      </c>
      <c r="F10" t="s">
        <v>27</v>
      </c>
      <c r="G10">
        <v>5</v>
      </c>
      <c r="H10">
        <v>8</v>
      </c>
    </row>
    <row r="11" spans="1:8" ht="60.75" thickBot="1" x14ac:dyDescent="0.3">
      <c r="A11" s="6" t="s">
        <v>15</v>
      </c>
      <c r="B11" s="6">
        <v>50000</v>
      </c>
      <c r="C11" s="6">
        <v>50000</v>
      </c>
      <c r="F11" s="8" t="s">
        <v>28</v>
      </c>
      <c r="G11">
        <f>G9/G10</f>
        <v>44800</v>
      </c>
      <c r="H11">
        <f>H9/H10</f>
        <v>7500</v>
      </c>
    </row>
    <row r="12" spans="1:8" ht="15.75" thickBot="1" x14ac:dyDescent="0.3">
      <c r="A12" s="6" t="s">
        <v>16</v>
      </c>
      <c r="B12" s="6">
        <v>12000</v>
      </c>
      <c r="C12" s="6">
        <v>60000</v>
      </c>
    </row>
    <row r="13" spans="1:8" ht="30.75" thickBot="1" x14ac:dyDescent="0.3">
      <c r="A13" s="6" t="s">
        <v>17</v>
      </c>
      <c r="B13" s="6">
        <v>24000</v>
      </c>
      <c r="C13" s="6">
        <v>20000</v>
      </c>
    </row>
    <row r="14" spans="1:8" ht="30" x14ac:dyDescent="0.25">
      <c r="A14" s="7" t="s">
        <v>21</v>
      </c>
      <c r="B14">
        <f>SUM(B11:B13)</f>
        <v>86000</v>
      </c>
      <c r="C14">
        <f>SUM(C11:C13)</f>
        <v>130000</v>
      </c>
    </row>
    <row r="15" spans="1:8" ht="45" x14ac:dyDescent="0.25">
      <c r="A15" s="7" t="s">
        <v>20</v>
      </c>
      <c r="B15">
        <f>B9-B14</f>
        <v>64000</v>
      </c>
      <c r="C15">
        <f>C9-C14</f>
        <v>20000</v>
      </c>
    </row>
    <row r="16" spans="1:8" x14ac:dyDescent="0.25">
      <c r="A16" s="14" t="s">
        <v>22</v>
      </c>
    </row>
    <row r="17" spans="1:10" x14ac:dyDescent="0.25">
      <c r="A17" s="7" t="s">
        <v>24</v>
      </c>
      <c r="B17">
        <f>G11</f>
        <v>44800</v>
      </c>
      <c r="C17">
        <f>H11</f>
        <v>7500</v>
      </c>
    </row>
    <row r="18" spans="1:10" x14ac:dyDescent="0.25">
      <c r="A18" s="7" t="s">
        <v>37</v>
      </c>
      <c r="B18">
        <f>B27*B26</f>
        <v>17920</v>
      </c>
      <c r="C18">
        <f>H9*0.08</f>
        <v>4800</v>
      </c>
    </row>
    <row r="19" spans="1:10" x14ac:dyDescent="0.25">
      <c r="A19" s="7" t="s">
        <v>29</v>
      </c>
      <c r="B19">
        <f>B15-B17-B18</f>
        <v>1280</v>
      </c>
      <c r="C19">
        <f>C15-C17-C18</f>
        <v>7700</v>
      </c>
    </row>
    <row r="20" spans="1:10" x14ac:dyDescent="0.25">
      <c r="A20" s="7" t="s">
        <v>30</v>
      </c>
      <c r="B20">
        <f>B19*0.5</f>
        <v>640</v>
      </c>
      <c r="C20">
        <f>C19*0.5</f>
        <v>3850</v>
      </c>
    </row>
    <row r="21" spans="1:10" x14ac:dyDescent="0.25">
      <c r="A21" s="7" t="s">
        <v>31</v>
      </c>
      <c r="B21">
        <f>B19-B20</f>
        <v>640</v>
      </c>
      <c r="C21">
        <f>C19-C20</f>
        <v>3850</v>
      </c>
    </row>
    <row r="22" spans="1:10" x14ac:dyDescent="0.25">
      <c r="A22" s="7" t="s">
        <v>32</v>
      </c>
      <c r="B22">
        <f>B17</f>
        <v>44800</v>
      </c>
      <c r="C22">
        <f>C17</f>
        <v>7500</v>
      </c>
    </row>
    <row r="23" spans="1:10" ht="30" x14ac:dyDescent="0.25">
      <c r="A23" s="9" t="s">
        <v>19</v>
      </c>
      <c r="B23" s="3">
        <f>B22+B21</f>
        <v>45440</v>
      </c>
      <c r="C23" s="3">
        <f>C22+C21</f>
        <v>11350</v>
      </c>
    </row>
    <row r="25" spans="1:10" x14ac:dyDescent="0.25">
      <c r="A25" s="3" t="s">
        <v>33</v>
      </c>
      <c r="G25" s="3" t="s">
        <v>43</v>
      </c>
    </row>
    <row r="26" spans="1:10" x14ac:dyDescent="0.25">
      <c r="A26" t="s">
        <v>4</v>
      </c>
      <c r="B26" s="3">
        <v>224000</v>
      </c>
      <c r="G26" t="s">
        <v>4</v>
      </c>
      <c r="H26" s="3">
        <v>60000</v>
      </c>
    </row>
    <row r="27" spans="1:10" x14ac:dyDescent="0.25">
      <c r="A27" t="s">
        <v>36</v>
      </c>
      <c r="B27" s="1">
        <v>0.08</v>
      </c>
      <c r="G27" t="s">
        <v>36</v>
      </c>
      <c r="H27" s="1">
        <v>0.08</v>
      </c>
    </row>
    <row r="28" spans="1:10" x14ac:dyDescent="0.25">
      <c r="A28" t="s">
        <v>34</v>
      </c>
      <c r="B28" t="s">
        <v>35</v>
      </c>
      <c r="C28" t="s">
        <v>38</v>
      </c>
      <c r="D28" t="s">
        <v>39</v>
      </c>
      <c r="G28" t="s">
        <v>34</v>
      </c>
      <c r="H28" t="s">
        <v>35</v>
      </c>
      <c r="I28" t="s">
        <v>38</v>
      </c>
      <c r="J28" t="s">
        <v>39</v>
      </c>
    </row>
    <row r="29" spans="1:10" x14ac:dyDescent="0.25">
      <c r="A29">
        <v>1</v>
      </c>
      <c r="B29">
        <f>B23</f>
        <v>45440</v>
      </c>
      <c r="C29">
        <f>1/(1+0.08)^A29</f>
        <v>0.92592592592592582</v>
      </c>
      <c r="D29">
        <f>B29*C29</f>
        <v>42074.074074074066</v>
      </c>
      <c r="G29">
        <v>1</v>
      </c>
      <c r="H29">
        <f>C23</f>
        <v>11350</v>
      </c>
      <c r="I29">
        <f>1/(1+0.08)^G29</f>
        <v>0.92592592592592582</v>
      </c>
      <c r="J29">
        <f>H29*I29</f>
        <v>10509.259259259257</v>
      </c>
    </row>
    <row r="30" spans="1:10" x14ac:dyDescent="0.25">
      <c r="A30">
        <v>2</v>
      </c>
      <c r="B30">
        <f>B29</f>
        <v>45440</v>
      </c>
      <c r="C30">
        <f t="shared" ref="C30:C33" si="0">1/(1+0.08)^A30</f>
        <v>0.85733882030178321</v>
      </c>
      <c r="D30">
        <f t="shared" ref="D30:D33" si="1">B30*C30</f>
        <v>38957.475994513028</v>
      </c>
      <c r="G30">
        <v>2</v>
      </c>
      <c r="H30">
        <f>H29</f>
        <v>11350</v>
      </c>
      <c r="I30">
        <f t="shared" ref="I30:I36" si="2">1/(1+0.08)^G30</f>
        <v>0.85733882030178321</v>
      </c>
      <c r="J30">
        <f t="shared" ref="J30:J36" si="3">H30*I30</f>
        <v>9730.7956104252389</v>
      </c>
    </row>
    <row r="31" spans="1:10" x14ac:dyDescent="0.25">
      <c r="A31">
        <v>3</v>
      </c>
      <c r="B31">
        <f t="shared" ref="B31:B33" si="4">B30</f>
        <v>45440</v>
      </c>
      <c r="C31">
        <f t="shared" si="0"/>
        <v>0.79383224102016958</v>
      </c>
      <c r="D31">
        <f t="shared" si="1"/>
        <v>36071.737031956509</v>
      </c>
      <c r="G31">
        <v>3</v>
      </c>
      <c r="H31">
        <f t="shared" ref="H31:H36" si="5">H30</f>
        <v>11350</v>
      </c>
      <c r="I31">
        <f t="shared" si="2"/>
        <v>0.79383224102016958</v>
      </c>
      <c r="J31">
        <f t="shared" si="3"/>
        <v>9009.9959355789251</v>
      </c>
    </row>
    <row r="32" spans="1:10" x14ac:dyDescent="0.25">
      <c r="A32">
        <v>4</v>
      </c>
      <c r="B32">
        <f t="shared" si="4"/>
        <v>45440</v>
      </c>
      <c r="C32">
        <f t="shared" si="0"/>
        <v>0.73502985279645328</v>
      </c>
      <c r="D32">
        <f t="shared" si="1"/>
        <v>33399.756511070838</v>
      </c>
      <c r="G32">
        <v>4</v>
      </c>
      <c r="H32">
        <f t="shared" si="5"/>
        <v>11350</v>
      </c>
      <c r="I32">
        <f t="shared" si="2"/>
        <v>0.73502985279645328</v>
      </c>
      <c r="J32">
        <f t="shared" si="3"/>
        <v>8342.5888292397449</v>
      </c>
    </row>
    <row r="33" spans="1:12" x14ac:dyDescent="0.25">
      <c r="A33">
        <v>5</v>
      </c>
      <c r="B33">
        <f t="shared" si="4"/>
        <v>45440</v>
      </c>
      <c r="C33">
        <f t="shared" si="0"/>
        <v>0.68058319703375303</v>
      </c>
      <c r="D33">
        <f t="shared" si="1"/>
        <v>30925.700473213739</v>
      </c>
      <c r="G33">
        <v>5</v>
      </c>
      <c r="H33">
        <f t="shared" si="5"/>
        <v>11350</v>
      </c>
      <c r="I33">
        <f t="shared" si="2"/>
        <v>0.68058319703375303</v>
      </c>
      <c r="J33">
        <f t="shared" si="3"/>
        <v>7724.6192863330971</v>
      </c>
    </row>
    <row r="34" spans="1:12" x14ac:dyDescent="0.25">
      <c r="D34" s="3">
        <f>SUM(D29:D33)</f>
        <v>181428.74408482818</v>
      </c>
      <c r="G34">
        <v>6</v>
      </c>
      <c r="H34">
        <f t="shared" si="5"/>
        <v>11350</v>
      </c>
      <c r="I34">
        <f t="shared" si="2"/>
        <v>0.63016962688310452</v>
      </c>
      <c r="J34">
        <f t="shared" si="3"/>
        <v>7152.4252651232364</v>
      </c>
    </row>
    <row r="35" spans="1:12" x14ac:dyDescent="0.25">
      <c r="G35">
        <v>7</v>
      </c>
      <c r="H35">
        <f t="shared" si="5"/>
        <v>11350</v>
      </c>
      <c r="I35">
        <f t="shared" si="2"/>
        <v>0.58349039526213387</v>
      </c>
      <c r="J35">
        <f t="shared" si="3"/>
        <v>6622.6159862252198</v>
      </c>
    </row>
    <row r="36" spans="1:12" x14ac:dyDescent="0.25">
      <c r="A36" s="3" t="s">
        <v>9</v>
      </c>
      <c r="B36" t="s">
        <v>40</v>
      </c>
      <c r="D36" s="3">
        <f>D34-B26</f>
        <v>-42571.255915171816</v>
      </c>
      <c r="E36" t="s">
        <v>41</v>
      </c>
      <c r="F36" t="s">
        <v>42</v>
      </c>
      <c r="G36">
        <v>8</v>
      </c>
      <c r="H36">
        <f t="shared" si="5"/>
        <v>11350</v>
      </c>
      <c r="I36">
        <f t="shared" si="2"/>
        <v>0.54026888450197574</v>
      </c>
      <c r="J36">
        <f t="shared" si="3"/>
        <v>6132.0518390974248</v>
      </c>
    </row>
    <row r="37" spans="1:12" x14ac:dyDescent="0.25">
      <c r="J37" s="3">
        <f>SUM(J29:J36)</f>
        <v>65224.352011282142</v>
      </c>
    </row>
    <row r="38" spans="1:12" x14ac:dyDescent="0.25">
      <c r="G38" s="3" t="s">
        <v>9</v>
      </c>
      <c r="H38" t="s">
        <v>40</v>
      </c>
      <c r="J38" s="3">
        <f>J37-H26</f>
        <v>5224.3520112821425</v>
      </c>
      <c r="K38" t="s">
        <v>44</v>
      </c>
      <c r="L3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opLeftCell="A8" zoomScale="110" zoomScaleNormal="110" workbookViewId="0">
      <selection activeCell="B10" sqref="B10:B13"/>
    </sheetView>
  </sheetViews>
  <sheetFormatPr defaultRowHeight="15" x14ac:dyDescent="0.25"/>
  <cols>
    <col min="1" max="1" width="11.85546875" customWidth="1"/>
    <col min="2" max="2" width="12.140625" bestFit="1" customWidth="1"/>
    <col min="3" max="3" width="12" bestFit="1" customWidth="1"/>
  </cols>
  <sheetData>
    <row r="1" spans="1:11" x14ac:dyDescent="0.25">
      <c r="A1" t="s">
        <v>46</v>
      </c>
    </row>
    <row r="3" spans="1:11" x14ac:dyDescent="0.25">
      <c r="A3" t="s">
        <v>47</v>
      </c>
    </row>
    <row r="5" spans="1:11" x14ac:dyDescent="0.25">
      <c r="A5" t="s">
        <v>4</v>
      </c>
      <c r="B5">
        <v>80</v>
      </c>
    </row>
    <row r="6" spans="1:11" x14ac:dyDescent="0.25">
      <c r="A6" t="s">
        <v>48</v>
      </c>
      <c r="B6" s="1">
        <v>0.11</v>
      </c>
    </row>
    <row r="7" spans="1:11" x14ac:dyDescent="0.25">
      <c r="B7" s="1"/>
    </row>
    <row r="8" spans="1:11" x14ac:dyDescent="0.25">
      <c r="A8" t="s">
        <v>50</v>
      </c>
      <c r="B8" s="1" t="s">
        <v>53</v>
      </c>
      <c r="G8" t="s">
        <v>50</v>
      </c>
      <c r="H8" s="1" t="s">
        <v>55</v>
      </c>
    </row>
    <row r="9" spans="1:11" x14ac:dyDescent="0.25">
      <c r="A9" t="s">
        <v>34</v>
      </c>
      <c r="B9" t="s">
        <v>49</v>
      </c>
      <c r="C9" s="2" t="s">
        <v>51</v>
      </c>
      <c r="D9" t="s">
        <v>52</v>
      </c>
      <c r="G9" t="s">
        <v>34</v>
      </c>
      <c r="H9" t="s">
        <v>49</v>
      </c>
      <c r="I9" s="2" t="s">
        <v>56</v>
      </c>
      <c r="J9" t="s">
        <v>52</v>
      </c>
    </row>
    <row r="10" spans="1:11" x14ac:dyDescent="0.25">
      <c r="A10">
        <v>1</v>
      </c>
      <c r="B10">
        <v>20</v>
      </c>
      <c r="C10">
        <f>1/(1+0.11)^A10</f>
        <v>0.9009009009009008</v>
      </c>
      <c r="D10">
        <f>B10*C10</f>
        <v>18.018018018018015</v>
      </c>
      <c r="G10">
        <v>1</v>
      </c>
      <c r="H10">
        <v>20</v>
      </c>
      <c r="I10">
        <f>1/(1+0.13)^G10</f>
        <v>0.88495575221238942</v>
      </c>
      <c r="J10">
        <f>H10*I10</f>
        <v>17.69911504424779</v>
      </c>
    </row>
    <row r="11" spans="1:11" x14ac:dyDescent="0.25">
      <c r="A11">
        <v>2</v>
      </c>
      <c r="B11">
        <v>25</v>
      </c>
      <c r="C11">
        <f t="shared" ref="C11:C13" si="0">1/(1+0.11)^A11</f>
        <v>0.8116224332440547</v>
      </c>
      <c r="D11">
        <f t="shared" ref="D11:D13" si="1">B11*C11</f>
        <v>20.290560831101367</v>
      </c>
      <c r="G11">
        <v>2</v>
      </c>
      <c r="H11">
        <v>25</v>
      </c>
      <c r="I11">
        <f t="shared" ref="I11:I13" si="2">1/(1+0.13)^G11</f>
        <v>0.78314668337379612</v>
      </c>
      <c r="J11">
        <f t="shared" ref="J11:J13" si="3">H11*I11</f>
        <v>19.578667084344904</v>
      </c>
    </row>
    <row r="12" spans="1:11" x14ac:dyDescent="0.25">
      <c r="A12">
        <v>3</v>
      </c>
      <c r="B12">
        <v>30</v>
      </c>
      <c r="C12">
        <f t="shared" si="0"/>
        <v>0.73119138130095018</v>
      </c>
      <c r="D12">
        <f t="shared" si="1"/>
        <v>21.935741439028504</v>
      </c>
      <c r="G12">
        <v>3</v>
      </c>
      <c r="H12">
        <v>30</v>
      </c>
      <c r="I12">
        <f t="shared" si="2"/>
        <v>0.69305016227769578</v>
      </c>
      <c r="J12">
        <f t="shared" si="3"/>
        <v>20.791504868330872</v>
      </c>
    </row>
    <row r="13" spans="1:11" x14ac:dyDescent="0.25">
      <c r="A13">
        <v>4</v>
      </c>
      <c r="B13">
        <v>30</v>
      </c>
      <c r="C13">
        <f t="shared" si="0"/>
        <v>0.65873097414500015</v>
      </c>
      <c r="D13">
        <f t="shared" si="1"/>
        <v>19.761929224350006</v>
      </c>
      <c r="G13">
        <v>4</v>
      </c>
      <c r="H13">
        <v>30</v>
      </c>
      <c r="I13">
        <f t="shared" si="2"/>
        <v>0.61331872767937679</v>
      </c>
      <c r="J13">
        <f t="shared" si="3"/>
        <v>18.399561830381302</v>
      </c>
    </row>
    <row r="14" spans="1:11" x14ac:dyDescent="0.25">
      <c r="D14">
        <f>SUM(D10:D13)</f>
        <v>80.006249512497902</v>
      </c>
      <c r="E14" t="s">
        <v>59</v>
      </c>
      <c r="J14">
        <f>SUM(J10:J13)</f>
        <v>76.468848827304868</v>
      </c>
      <c r="K14" t="s">
        <v>60</v>
      </c>
    </row>
    <row r="15" spans="1:11" x14ac:dyDescent="0.25">
      <c r="C15" t="s">
        <v>9</v>
      </c>
      <c r="D15">
        <f>D14-B5</f>
        <v>6.2495124979022876E-3</v>
      </c>
      <c r="E15" t="s">
        <v>54</v>
      </c>
      <c r="I15" t="s">
        <v>9</v>
      </c>
      <c r="J15">
        <f>J14-B5</f>
        <v>-3.5311511726951323</v>
      </c>
      <c r="K15" t="s">
        <v>41</v>
      </c>
    </row>
    <row r="18" spans="1:4" x14ac:dyDescent="0.25">
      <c r="A18" t="s">
        <v>57</v>
      </c>
      <c r="B18" s="1">
        <v>0.11</v>
      </c>
    </row>
    <row r="19" spans="1:4" x14ac:dyDescent="0.25">
      <c r="A19" t="s">
        <v>58</v>
      </c>
      <c r="B19" s="10">
        <f>13%-11%</f>
        <v>2.0000000000000004E-2</v>
      </c>
    </row>
    <row r="20" spans="1:4" x14ac:dyDescent="0.25">
      <c r="A20" t="s">
        <v>59</v>
      </c>
      <c r="B20">
        <f>D14</f>
        <v>80.006249512497902</v>
      </c>
    </row>
    <row r="21" spans="1:4" x14ac:dyDescent="0.25">
      <c r="A21" t="s">
        <v>60</v>
      </c>
      <c r="B21">
        <f>J14</f>
        <v>76.468848827304868</v>
      </c>
    </row>
    <row r="22" spans="1:4" x14ac:dyDescent="0.25">
      <c r="A22" t="s">
        <v>4</v>
      </c>
      <c r="B22">
        <f>B5</f>
        <v>80</v>
      </c>
    </row>
    <row r="24" spans="1:4" x14ac:dyDescent="0.25">
      <c r="A24" s="3" t="s">
        <v>61</v>
      </c>
      <c r="B24" s="11">
        <f>B18+(B19*((B20-B22)/(B20-B21)))</f>
        <v>0.11003533392484523</v>
      </c>
      <c r="C24" s="3" t="s">
        <v>62</v>
      </c>
      <c r="D24" s="3" t="s">
        <v>63</v>
      </c>
    </row>
  </sheetData>
  <hyperlinks>
    <hyperlink ref="C9" r:id="rId1"/>
    <hyperlink ref="I9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8" sqref="A8"/>
    </sheetView>
  </sheetViews>
  <sheetFormatPr defaultRowHeight="15" x14ac:dyDescent="0.25"/>
  <sheetData>
    <row r="1" spans="1:6" x14ac:dyDescent="0.25">
      <c r="A1" t="s">
        <v>64</v>
      </c>
    </row>
    <row r="3" spans="1:6" x14ac:dyDescent="0.25">
      <c r="A3" t="s">
        <v>65</v>
      </c>
    </row>
    <row r="5" spans="1:6" x14ac:dyDescent="0.25">
      <c r="A5" t="s">
        <v>66</v>
      </c>
      <c r="D5">
        <f>NPV!D34/NPV!B26</f>
        <v>0.80994975037869721</v>
      </c>
      <c r="E5" t="s">
        <v>67</v>
      </c>
      <c r="F5" t="s">
        <v>68</v>
      </c>
    </row>
    <row r="6" spans="1:6" x14ac:dyDescent="0.25">
      <c r="A6" t="s">
        <v>69</v>
      </c>
      <c r="D6">
        <f>NPV!J37/NPV!H26</f>
        <v>1.0870725335213691</v>
      </c>
      <c r="E6" t="s">
        <v>70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1"/>
  <sheetViews>
    <sheetView workbookViewId="0">
      <selection activeCell="B7" sqref="B7:B11"/>
    </sheetView>
  </sheetViews>
  <sheetFormatPr defaultRowHeight="15" x14ac:dyDescent="0.25"/>
  <cols>
    <col min="10" max="10" width="13.28515625" customWidth="1"/>
  </cols>
  <sheetData>
    <row r="3" spans="1:14" x14ac:dyDescent="0.25">
      <c r="A3" s="3" t="s">
        <v>33</v>
      </c>
      <c r="J3" s="3" t="s">
        <v>43</v>
      </c>
    </row>
    <row r="4" spans="1:14" x14ac:dyDescent="0.25">
      <c r="A4" t="s">
        <v>4</v>
      </c>
      <c r="B4">
        <v>224000</v>
      </c>
      <c r="J4" t="s">
        <v>4</v>
      </c>
      <c r="K4">
        <v>60000</v>
      </c>
    </row>
    <row r="5" spans="1:14" x14ac:dyDescent="0.25">
      <c r="A5" t="s">
        <v>36</v>
      </c>
      <c r="B5">
        <v>0.08</v>
      </c>
      <c r="J5" t="s">
        <v>36</v>
      </c>
      <c r="K5">
        <v>0.08</v>
      </c>
    </row>
    <row r="6" spans="1:14" x14ac:dyDescent="0.25">
      <c r="A6" t="s">
        <v>34</v>
      </c>
      <c r="B6" t="s">
        <v>35</v>
      </c>
      <c r="C6" t="s">
        <v>38</v>
      </c>
      <c r="D6" t="s">
        <v>39</v>
      </c>
      <c r="E6" t="s">
        <v>72</v>
      </c>
      <c r="J6" t="s">
        <v>34</v>
      </c>
      <c r="K6" t="s">
        <v>35</v>
      </c>
      <c r="L6" t="s">
        <v>38</v>
      </c>
      <c r="M6" t="s">
        <v>39</v>
      </c>
      <c r="N6" t="s">
        <v>72</v>
      </c>
    </row>
    <row r="7" spans="1:14" x14ac:dyDescent="0.25">
      <c r="A7">
        <v>1</v>
      </c>
      <c r="B7">
        <v>45440</v>
      </c>
      <c r="C7">
        <v>0.92592592592592582</v>
      </c>
      <c r="D7">
        <v>42074.074074074066</v>
      </c>
      <c r="E7">
        <f>D7</f>
        <v>42074.074074074066</v>
      </c>
      <c r="J7">
        <v>1</v>
      </c>
      <c r="K7">
        <v>11350</v>
      </c>
      <c r="L7">
        <v>0.92592592592592582</v>
      </c>
      <c r="M7">
        <v>10509.259259259257</v>
      </c>
      <c r="N7">
        <f>M7</f>
        <v>10509.259259259257</v>
      </c>
    </row>
    <row r="8" spans="1:14" x14ac:dyDescent="0.25">
      <c r="A8">
        <v>2</v>
      </c>
      <c r="B8">
        <v>45440</v>
      </c>
      <c r="C8">
        <v>0.85733882030178321</v>
      </c>
      <c r="D8">
        <v>38957.475994513028</v>
      </c>
      <c r="E8">
        <f>D8+E7</f>
        <v>81031.550068587094</v>
      </c>
      <c r="J8">
        <v>2</v>
      </c>
      <c r="K8">
        <v>11350</v>
      </c>
      <c r="L8">
        <v>0.85733882030178321</v>
      </c>
      <c r="M8">
        <v>9730.7956104252389</v>
      </c>
      <c r="N8">
        <f>M8+N7</f>
        <v>20240.054869684496</v>
      </c>
    </row>
    <row r="9" spans="1:14" x14ac:dyDescent="0.25">
      <c r="A9">
        <v>3</v>
      </c>
      <c r="B9">
        <v>45440</v>
      </c>
      <c r="C9">
        <v>0.79383224102016958</v>
      </c>
      <c r="D9">
        <v>36071.737031956509</v>
      </c>
      <c r="E9">
        <f t="shared" ref="E9:E11" si="0">D9+E8</f>
        <v>117103.2871005436</v>
      </c>
      <c r="J9">
        <v>3</v>
      </c>
      <c r="K9">
        <v>11350</v>
      </c>
      <c r="L9">
        <v>0.79383224102016958</v>
      </c>
      <c r="M9">
        <v>9009.9959355789251</v>
      </c>
      <c r="N9">
        <f t="shared" ref="N9:N14" si="1">M9+N8</f>
        <v>29250.050805263421</v>
      </c>
    </row>
    <row r="10" spans="1:14" x14ac:dyDescent="0.25">
      <c r="A10">
        <v>4</v>
      </c>
      <c r="B10">
        <v>45440</v>
      </c>
      <c r="C10">
        <v>0.73502985279645328</v>
      </c>
      <c r="D10">
        <v>33399.756511070838</v>
      </c>
      <c r="E10">
        <f t="shared" si="0"/>
        <v>150503.04361161444</v>
      </c>
      <c r="J10">
        <v>4</v>
      </c>
      <c r="K10">
        <v>11350</v>
      </c>
      <c r="L10">
        <v>0.73502985279645328</v>
      </c>
      <c r="M10">
        <v>8342.5888292397449</v>
      </c>
      <c r="N10">
        <f t="shared" si="1"/>
        <v>37592.639634503168</v>
      </c>
    </row>
    <row r="11" spans="1:14" x14ac:dyDescent="0.25">
      <c r="A11">
        <v>5</v>
      </c>
      <c r="B11">
        <v>45440</v>
      </c>
      <c r="C11">
        <v>0.68058319703375303</v>
      </c>
      <c r="D11">
        <v>30925.700473213739</v>
      </c>
      <c r="E11">
        <f t="shared" si="0"/>
        <v>181428.74408482818</v>
      </c>
      <c r="J11">
        <v>5</v>
      </c>
      <c r="K11">
        <v>11350</v>
      </c>
      <c r="L11">
        <v>0.68058319703375303</v>
      </c>
      <c r="M11">
        <v>7724.6192863330971</v>
      </c>
      <c r="N11">
        <f t="shared" si="1"/>
        <v>45317.258920836262</v>
      </c>
    </row>
    <row r="12" spans="1:14" x14ac:dyDescent="0.25">
      <c r="D12" s="3">
        <v>181428.74408482818</v>
      </c>
      <c r="J12">
        <v>6</v>
      </c>
      <c r="K12">
        <v>11350</v>
      </c>
      <c r="L12">
        <v>0.63016962688310452</v>
      </c>
      <c r="M12">
        <v>7152.4252651232364</v>
      </c>
      <c r="N12">
        <f t="shared" si="1"/>
        <v>52469.684185959501</v>
      </c>
    </row>
    <row r="13" spans="1:14" x14ac:dyDescent="0.25">
      <c r="J13">
        <v>7</v>
      </c>
      <c r="K13">
        <v>11350</v>
      </c>
      <c r="L13">
        <v>0.58349039526213387</v>
      </c>
      <c r="M13">
        <v>6622.6159862252198</v>
      </c>
      <c r="N13">
        <f t="shared" si="1"/>
        <v>59092.300172184718</v>
      </c>
    </row>
    <row r="14" spans="1:14" x14ac:dyDescent="0.25">
      <c r="B14" t="s">
        <v>73</v>
      </c>
      <c r="J14">
        <v>8</v>
      </c>
      <c r="K14">
        <v>11350</v>
      </c>
      <c r="L14">
        <v>0.54026888450197574</v>
      </c>
      <c r="M14">
        <v>6132.0518390974248</v>
      </c>
      <c r="N14">
        <f t="shared" si="1"/>
        <v>65224.352011282142</v>
      </c>
    </row>
    <row r="15" spans="1:14" x14ac:dyDescent="0.25">
      <c r="B15" t="s">
        <v>74</v>
      </c>
      <c r="M15" s="3">
        <v>65224.352011282142</v>
      </c>
    </row>
    <row r="17" spans="10:11" x14ac:dyDescent="0.25">
      <c r="J17" t="s">
        <v>76</v>
      </c>
      <c r="K17" t="s">
        <v>75</v>
      </c>
    </row>
    <row r="18" spans="10:11" x14ac:dyDescent="0.25">
      <c r="K18">
        <f>K4-N13</f>
        <v>907.69982781528233</v>
      </c>
    </row>
    <row r="19" spans="10:11" x14ac:dyDescent="0.25">
      <c r="K19">
        <f>(K18/M14)*12</f>
        <v>1.7763055857314209</v>
      </c>
    </row>
    <row r="20" spans="10:11" x14ac:dyDescent="0.25">
      <c r="J20" t="s">
        <v>77</v>
      </c>
    </row>
    <row r="21" spans="10:11" x14ac:dyDescent="0.25">
      <c r="K21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71"/>
  <sheetViews>
    <sheetView tabSelected="1" topLeftCell="A7" workbookViewId="0">
      <selection activeCell="H17" sqref="H17"/>
    </sheetView>
  </sheetViews>
  <sheetFormatPr defaultRowHeight="15" x14ac:dyDescent="0.25"/>
  <cols>
    <col min="1" max="1" width="12.5703125" customWidth="1"/>
    <col min="2" max="2" width="28.42578125" customWidth="1"/>
    <col min="4" max="4" width="10" bestFit="1" customWidth="1"/>
    <col min="6" max="6" width="8.28515625" bestFit="1" customWidth="1"/>
    <col min="7" max="9" width="8.28515625" customWidth="1"/>
    <col min="10" max="10" width="30.42578125" bestFit="1" customWidth="1"/>
  </cols>
  <sheetData>
    <row r="2" spans="1:17" x14ac:dyDescent="0.25">
      <c r="A2" t="s">
        <v>86</v>
      </c>
    </row>
    <row r="3" spans="1:17" x14ac:dyDescent="0.25">
      <c r="A3" t="s">
        <v>14</v>
      </c>
    </row>
    <row r="4" spans="1:17" x14ac:dyDescent="0.25">
      <c r="A4" s="15" t="s">
        <v>79</v>
      </c>
    </row>
    <row r="5" spans="1:17" x14ac:dyDescent="0.25">
      <c r="A5" s="15" t="s">
        <v>80</v>
      </c>
    </row>
    <row r="6" spans="1:17" x14ac:dyDescent="0.25">
      <c r="A6" t="s">
        <v>81</v>
      </c>
    </row>
    <row r="7" spans="1:17" ht="18" customHeight="1" x14ac:dyDescent="0.25">
      <c r="A7" t="s">
        <v>82</v>
      </c>
    </row>
    <row r="8" spans="1:17" x14ac:dyDescent="0.25">
      <c r="A8" t="s">
        <v>83</v>
      </c>
      <c r="B8" t="s">
        <v>87</v>
      </c>
    </row>
    <row r="9" spans="1:17" x14ac:dyDescent="0.25">
      <c r="A9" t="s">
        <v>84</v>
      </c>
    </row>
    <row r="10" spans="1:17" x14ac:dyDescent="0.25">
      <c r="A10" t="s">
        <v>85</v>
      </c>
    </row>
    <row r="11" spans="1:17" x14ac:dyDescent="0.25">
      <c r="J11" s="3" t="s">
        <v>104</v>
      </c>
      <c r="K11" s="3" t="s">
        <v>102</v>
      </c>
    </row>
    <row r="12" spans="1:17" ht="15.75" thickBot="1" x14ac:dyDescent="0.3">
      <c r="K12">
        <v>1</v>
      </c>
      <c r="L12">
        <v>2</v>
      </c>
      <c r="M12">
        <v>3</v>
      </c>
      <c r="N12">
        <v>4</v>
      </c>
      <c r="O12">
        <v>5</v>
      </c>
      <c r="P12">
        <v>6</v>
      </c>
      <c r="Q12">
        <v>7</v>
      </c>
    </row>
    <row r="13" spans="1:17" ht="30.75" thickBot="1" x14ac:dyDescent="0.3">
      <c r="A13" s="16" t="s">
        <v>88</v>
      </c>
      <c r="B13" s="16" t="s">
        <v>89</v>
      </c>
      <c r="C13" s="16" t="s">
        <v>90</v>
      </c>
      <c r="J13" t="s">
        <v>14</v>
      </c>
      <c r="K13">
        <f>B24*B25</f>
        <v>15000</v>
      </c>
      <c r="L13">
        <f>K13</f>
        <v>15000</v>
      </c>
      <c r="M13">
        <f>K13</f>
        <v>15000</v>
      </c>
      <c r="N13">
        <f>K13</f>
        <v>15000</v>
      </c>
      <c r="O13">
        <f>K13</f>
        <v>15000</v>
      </c>
      <c r="P13">
        <f>K13</f>
        <v>15000</v>
      </c>
      <c r="Q13">
        <f>K13</f>
        <v>15000</v>
      </c>
    </row>
    <row r="14" spans="1:17" ht="16.5" thickTop="1" thickBot="1" x14ac:dyDescent="0.3">
      <c r="A14" s="17">
        <v>1</v>
      </c>
      <c r="B14" s="18" t="s">
        <v>91</v>
      </c>
      <c r="C14" s="17">
        <v>10000</v>
      </c>
      <c r="J14" t="s">
        <v>105</v>
      </c>
      <c r="K14">
        <f>B26*B24</f>
        <v>6750</v>
      </c>
      <c r="L14">
        <f>K14</f>
        <v>6750</v>
      </c>
      <c r="M14">
        <f>K14</f>
        <v>6750</v>
      </c>
      <c r="N14">
        <f>K14</f>
        <v>6750</v>
      </c>
      <c r="O14">
        <f>K14</f>
        <v>6750</v>
      </c>
      <c r="P14">
        <f>K14</f>
        <v>6750</v>
      </c>
      <c r="Q14">
        <f>K14</f>
        <v>6750</v>
      </c>
    </row>
    <row r="15" spans="1:17" ht="15.75" thickBot="1" x14ac:dyDescent="0.3">
      <c r="A15" s="19">
        <v>2</v>
      </c>
      <c r="B15" s="20" t="s">
        <v>92</v>
      </c>
      <c r="C15" s="19">
        <v>1000</v>
      </c>
      <c r="J15" t="s">
        <v>106</v>
      </c>
      <c r="K15">
        <f>K13-K14</f>
        <v>8250</v>
      </c>
      <c r="L15">
        <f t="shared" ref="L15:Q15" si="0">L13-L14</f>
        <v>8250</v>
      </c>
      <c r="M15">
        <f t="shared" si="0"/>
        <v>8250</v>
      </c>
      <c r="N15">
        <f t="shared" si="0"/>
        <v>8250</v>
      </c>
      <c r="O15">
        <f t="shared" si="0"/>
        <v>8250</v>
      </c>
      <c r="P15">
        <f t="shared" si="0"/>
        <v>8250</v>
      </c>
      <c r="Q15">
        <f t="shared" si="0"/>
        <v>8250</v>
      </c>
    </row>
    <row r="16" spans="1:17" ht="15.75" thickBot="1" x14ac:dyDescent="0.3">
      <c r="A16" s="21">
        <v>3</v>
      </c>
      <c r="B16" s="22" t="s">
        <v>93</v>
      </c>
      <c r="C16" s="21">
        <v>15</v>
      </c>
      <c r="J16" t="s">
        <v>107</v>
      </c>
      <c r="K16">
        <f>B27</f>
        <v>4000</v>
      </c>
      <c r="L16">
        <f>K16</f>
        <v>4000</v>
      </c>
      <c r="M16">
        <f>K16</f>
        <v>4000</v>
      </c>
      <c r="N16">
        <f>K16</f>
        <v>4000</v>
      </c>
      <c r="O16">
        <f>K16</f>
        <v>4000</v>
      </c>
      <c r="P16">
        <f>K16</f>
        <v>4000</v>
      </c>
      <c r="Q16">
        <f>K16</f>
        <v>4000</v>
      </c>
    </row>
    <row r="17" spans="1:17" ht="15.75" thickBot="1" x14ac:dyDescent="0.3">
      <c r="A17" s="19">
        <v>4</v>
      </c>
      <c r="B17" s="20" t="s">
        <v>94</v>
      </c>
      <c r="C17" s="19">
        <v>6.75</v>
      </c>
      <c r="J17" t="s">
        <v>108</v>
      </c>
      <c r="K17">
        <f>C19*C14</f>
        <v>2500</v>
      </c>
      <c r="L17">
        <f>(C14-K17)*C19</f>
        <v>1875</v>
      </c>
      <c r="M17" s="25">
        <f>(C14-K17-L17)*C19</f>
        <v>1406.25</v>
      </c>
      <c r="N17" s="25">
        <f>(C14-K17-L17-M17)*C19</f>
        <v>1054.6875</v>
      </c>
      <c r="O17" s="25">
        <f>(C14-K17-L17-M17-N17)*C19</f>
        <v>791.015625</v>
      </c>
      <c r="P17" s="25">
        <f>(C14-K17-L17-M17-N17-O17)*C19</f>
        <v>593.26171875</v>
      </c>
      <c r="Q17" s="25">
        <f>(C14-K17-L17-M17-N17-O17-P17)*C19</f>
        <v>444.9462890625</v>
      </c>
    </row>
    <row r="18" spans="1:17" ht="15.75" thickBot="1" x14ac:dyDescent="0.3">
      <c r="A18" s="21">
        <v>5</v>
      </c>
      <c r="B18" s="22" t="s">
        <v>95</v>
      </c>
      <c r="C18" s="21">
        <v>4000</v>
      </c>
      <c r="J18" t="s">
        <v>109</v>
      </c>
      <c r="K18" s="25">
        <f>K15-K16-K17</f>
        <v>1750</v>
      </c>
      <c r="L18" s="25">
        <f t="shared" ref="L18:Q18" si="1">L15-L16-L17</f>
        <v>2375</v>
      </c>
      <c r="M18" s="25">
        <f t="shared" si="1"/>
        <v>2843.75</v>
      </c>
      <c r="N18" s="25">
        <f t="shared" si="1"/>
        <v>3195.3125</v>
      </c>
      <c r="O18" s="25">
        <f t="shared" si="1"/>
        <v>3458.984375</v>
      </c>
      <c r="P18" s="25">
        <f t="shared" si="1"/>
        <v>3656.73828125</v>
      </c>
      <c r="Q18" s="25">
        <f t="shared" si="1"/>
        <v>3805.0537109375</v>
      </c>
    </row>
    <row r="19" spans="1:17" ht="15.75" thickBot="1" x14ac:dyDescent="0.3">
      <c r="A19" s="19">
        <v>6</v>
      </c>
      <c r="B19" s="20" t="s">
        <v>96</v>
      </c>
      <c r="C19" s="23">
        <v>0.25</v>
      </c>
      <c r="J19" t="s">
        <v>110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ht="15.75" thickBot="1" x14ac:dyDescent="0.3">
      <c r="A20" s="21">
        <v>7</v>
      </c>
      <c r="B20" s="22" t="s">
        <v>97</v>
      </c>
      <c r="C20" s="24">
        <v>0.35</v>
      </c>
      <c r="J20" t="s">
        <v>111</v>
      </c>
      <c r="K20" s="25">
        <f>K18-K19</f>
        <v>1750</v>
      </c>
      <c r="L20" s="25">
        <f t="shared" ref="L20:Q20" si="2">L18-L19</f>
        <v>2375</v>
      </c>
      <c r="M20" s="25">
        <f t="shared" si="2"/>
        <v>2843.75</v>
      </c>
      <c r="N20" s="25">
        <f t="shared" si="2"/>
        <v>3195.3125</v>
      </c>
      <c r="O20" s="25">
        <f t="shared" si="2"/>
        <v>3458.984375</v>
      </c>
      <c r="P20" s="25">
        <f t="shared" si="2"/>
        <v>3656.73828125</v>
      </c>
      <c r="Q20" s="25">
        <f t="shared" si="2"/>
        <v>3805.0537109375</v>
      </c>
    </row>
    <row r="21" spans="1:17" ht="15.75" thickBot="1" x14ac:dyDescent="0.3">
      <c r="A21" s="19">
        <v>8</v>
      </c>
      <c r="B21" s="20" t="s">
        <v>98</v>
      </c>
      <c r="C21" s="23">
        <v>0.12</v>
      </c>
      <c r="J21" t="s">
        <v>112</v>
      </c>
      <c r="K21" s="25">
        <f>K20*$C$20</f>
        <v>612.5</v>
      </c>
      <c r="L21" s="25">
        <f t="shared" ref="L21:Q21" si="3">L20*$C$20</f>
        <v>831.25</v>
      </c>
      <c r="M21" s="25">
        <f t="shared" si="3"/>
        <v>995.31249999999989</v>
      </c>
      <c r="N21" s="25">
        <f t="shared" si="3"/>
        <v>1118.359375</v>
      </c>
      <c r="O21" s="25">
        <f t="shared" si="3"/>
        <v>1210.64453125</v>
      </c>
      <c r="P21" s="25">
        <f t="shared" si="3"/>
        <v>1279.8583984375</v>
      </c>
      <c r="Q21" s="25">
        <f t="shared" si="3"/>
        <v>1331.768798828125</v>
      </c>
    </row>
    <row r="22" spans="1:17" x14ac:dyDescent="0.25">
      <c r="C22" t="s">
        <v>129</v>
      </c>
      <c r="F22" t="s">
        <v>130</v>
      </c>
      <c r="J22" t="s">
        <v>113</v>
      </c>
      <c r="K22" s="25">
        <f>K20-K21</f>
        <v>1137.5</v>
      </c>
      <c r="L22" s="25">
        <f t="shared" ref="L22:Q22" si="4">L20-L21</f>
        <v>1543.75</v>
      </c>
      <c r="M22" s="25">
        <f t="shared" si="4"/>
        <v>1848.4375</v>
      </c>
      <c r="N22" s="25">
        <f t="shared" si="4"/>
        <v>2076.953125</v>
      </c>
      <c r="O22" s="25">
        <f t="shared" si="4"/>
        <v>2248.33984375</v>
      </c>
      <c r="P22" s="25">
        <f t="shared" si="4"/>
        <v>2376.8798828125</v>
      </c>
      <c r="Q22" s="25">
        <f t="shared" si="4"/>
        <v>2473.284912109375</v>
      </c>
    </row>
    <row r="23" spans="1:17" ht="45" x14ac:dyDescent="0.25">
      <c r="B23" t="s">
        <v>102</v>
      </c>
      <c r="C23" s="27" t="s">
        <v>120</v>
      </c>
      <c r="D23" s="3" t="s">
        <v>121</v>
      </c>
      <c r="E23" s="3" t="s">
        <v>122</v>
      </c>
      <c r="F23" s="27" t="s">
        <v>120</v>
      </c>
      <c r="G23" s="3" t="s">
        <v>121</v>
      </c>
      <c r="H23" s="3" t="s">
        <v>122</v>
      </c>
      <c r="I23" s="3"/>
      <c r="J23" t="s">
        <v>32</v>
      </c>
      <c r="K23" s="25">
        <f>K17</f>
        <v>2500</v>
      </c>
      <c r="L23" s="25">
        <f t="shared" ref="L23:Q23" si="5">L17</f>
        <v>1875</v>
      </c>
      <c r="M23" s="25">
        <f t="shared" si="5"/>
        <v>1406.25</v>
      </c>
      <c r="N23" s="25">
        <f t="shared" si="5"/>
        <v>1054.6875</v>
      </c>
      <c r="O23" s="25">
        <f t="shared" si="5"/>
        <v>791.015625</v>
      </c>
      <c r="P23" s="25">
        <f t="shared" si="5"/>
        <v>593.26171875</v>
      </c>
      <c r="Q23" s="25">
        <f t="shared" si="5"/>
        <v>444.9462890625</v>
      </c>
    </row>
    <row r="24" spans="1:17" ht="30" x14ac:dyDescent="0.25">
      <c r="A24" s="8" t="s">
        <v>103</v>
      </c>
      <c r="B24">
        <v>1000</v>
      </c>
      <c r="C24" s="28">
        <v>0.1</v>
      </c>
      <c r="D24">
        <f>B24-(B24*C24)</f>
        <v>900</v>
      </c>
      <c r="E24">
        <f>B24+(B24*C24)</f>
        <v>1100</v>
      </c>
      <c r="F24" s="29">
        <v>0.25</v>
      </c>
      <c r="G24">
        <f>B24-(B24*F24)</f>
        <v>750</v>
      </c>
      <c r="H24">
        <f>B24+(B24*F24)</f>
        <v>1250</v>
      </c>
      <c r="J24" s="3" t="s">
        <v>104</v>
      </c>
      <c r="K24" s="26">
        <f>K22+K23</f>
        <v>3637.5</v>
      </c>
      <c r="L24" s="26">
        <f t="shared" ref="L24:Q24" si="6">L22+L23</f>
        <v>3418.75</v>
      </c>
      <c r="M24" s="26">
        <f t="shared" si="6"/>
        <v>3254.6875</v>
      </c>
      <c r="N24" s="26">
        <f t="shared" si="6"/>
        <v>3131.640625</v>
      </c>
      <c r="O24" s="26">
        <f t="shared" si="6"/>
        <v>3039.35546875</v>
      </c>
      <c r="P24" s="26">
        <f t="shared" si="6"/>
        <v>2970.1416015625</v>
      </c>
      <c r="Q24" s="26">
        <f t="shared" si="6"/>
        <v>2918.231201171875</v>
      </c>
    </row>
    <row r="25" spans="1:17" x14ac:dyDescent="0.25">
      <c r="A25" s="8" t="s">
        <v>101</v>
      </c>
      <c r="B25">
        <v>15</v>
      </c>
      <c r="C25" s="28">
        <v>0.05</v>
      </c>
      <c r="D25">
        <f>B25-(B25*C25)</f>
        <v>14.25</v>
      </c>
      <c r="E25">
        <f>B25+(C25*B25)</f>
        <v>15.75</v>
      </c>
      <c r="F25" s="29">
        <v>0.15</v>
      </c>
      <c r="G25">
        <f>B25-(B25*F25)</f>
        <v>12.75</v>
      </c>
      <c r="H25">
        <f>B25+(B25*F25)</f>
        <v>17.25</v>
      </c>
      <c r="J25" t="s">
        <v>114</v>
      </c>
      <c r="K25">
        <f>1/(1+0.12)^K12</f>
        <v>0.89285714285714279</v>
      </c>
      <c r="L25">
        <f t="shared" ref="L25:Q25" si="7">1/(1+0.12)^L12</f>
        <v>0.79719387755102034</v>
      </c>
      <c r="M25">
        <f t="shared" si="7"/>
        <v>0.71178024781341087</v>
      </c>
      <c r="N25">
        <f t="shared" si="7"/>
        <v>0.63551807840483121</v>
      </c>
      <c r="O25">
        <f t="shared" si="7"/>
        <v>0.56742685571859919</v>
      </c>
      <c r="P25">
        <f t="shared" si="7"/>
        <v>0.50663112117732068</v>
      </c>
      <c r="Q25">
        <f t="shared" si="7"/>
        <v>0.45234921533689343</v>
      </c>
    </row>
    <row r="26" spans="1:17" ht="30" x14ac:dyDescent="0.25">
      <c r="A26" s="8" t="s">
        <v>99</v>
      </c>
      <c r="B26">
        <v>6.75</v>
      </c>
      <c r="C26" s="28">
        <v>0.1</v>
      </c>
      <c r="D26">
        <f>B26+(B26*C26)</f>
        <v>7.4249999999999998</v>
      </c>
      <c r="E26">
        <f>B26-(B26*C26)</f>
        <v>6.0750000000000002</v>
      </c>
      <c r="F26" s="29">
        <v>0.1</v>
      </c>
      <c r="G26">
        <f>B26+(B26*F26)</f>
        <v>7.4249999999999998</v>
      </c>
      <c r="H26">
        <f>B26-(B26*F26)</f>
        <v>6.0750000000000002</v>
      </c>
      <c r="J26" t="s">
        <v>115</v>
      </c>
      <c r="K26">
        <f>K24*K25</f>
        <v>3247.7678571428569</v>
      </c>
      <c r="L26">
        <f t="shared" ref="L26:Q26" si="8">L24*L25</f>
        <v>2725.4065688775509</v>
      </c>
      <c r="M26">
        <f t="shared" si="8"/>
        <v>2316.6222753052107</v>
      </c>
      <c r="N26">
        <f t="shared" si="8"/>
        <v>1990.2142322545046</v>
      </c>
      <c r="O26">
        <f t="shared" si="8"/>
        <v>1724.6119170439417</v>
      </c>
      <c r="P26">
        <f t="shared" si="8"/>
        <v>1504.7661696550122</v>
      </c>
      <c r="Q26">
        <f t="shared" si="8"/>
        <v>1320.0595940217377</v>
      </c>
    </row>
    <row r="27" spans="1:17" x14ac:dyDescent="0.25">
      <c r="A27" s="8" t="s">
        <v>100</v>
      </c>
      <c r="B27">
        <v>4000</v>
      </c>
      <c r="C27" s="28">
        <v>0.05</v>
      </c>
      <c r="D27">
        <f>B27+(B27*C27)</f>
        <v>4200</v>
      </c>
      <c r="E27">
        <f>B27-(B27*C27)</f>
        <v>3800</v>
      </c>
      <c r="F27" s="29">
        <v>0.2</v>
      </c>
      <c r="G27">
        <f>B27+(B27*F27)</f>
        <v>4800</v>
      </c>
      <c r="H27">
        <f>B27-(B27*F27)</f>
        <v>3200</v>
      </c>
      <c r="J27" t="s">
        <v>116</v>
      </c>
      <c r="K27">
        <f>SUM(K26:Q26)</f>
        <v>14829.448614300813</v>
      </c>
    </row>
    <row r="28" spans="1:17" x14ac:dyDescent="0.25">
      <c r="J28" t="s">
        <v>117</v>
      </c>
      <c r="K28">
        <f>C14</f>
        <v>10000</v>
      </c>
    </row>
    <row r="29" spans="1:17" x14ac:dyDescent="0.25">
      <c r="J29" s="3" t="s">
        <v>118</v>
      </c>
      <c r="K29" s="3">
        <f>K27-K28</f>
        <v>4829.4486143008126</v>
      </c>
      <c r="L29" t="s">
        <v>119</v>
      </c>
      <c r="M29" t="s">
        <v>11</v>
      </c>
    </row>
    <row r="31" spans="1:17" x14ac:dyDescent="0.25">
      <c r="B31" t="s">
        <v>123</v>
      </c>
    </row>
    <row r="32" spans="1:17" x14ac:dyDescent="0.25">
      <c r="B32" t="s">
        <v>34</v>
      </c>
      <c r="D32" t="s">
        <v>127</v>
      </c>
      <c r="E32" t="s">
        <v>125</v>
      </c>
      <c r="F32" t="s">
        <v>126</v>
      </c>
      <c r="J32" s="3" t="s">
        <v>104</v>
      </c>
      <c r="K32" s="3" t="s">
        <v>128</v>
      </c>
    </row>
    <row r="33" spans="2:17" x14ac:dyDescent="0.25">
      <c r="B33">
        <v>1</v>
      </c>
      <c r="C33" t="s">
        <v>124</v>
      </c>
      <c r="D33" s="25">
        <v>10000</v>
      </c>
      <c r="E33" s="25">
        <f>D33*25%</f>
        <v>2500</v>
      </c>
      <c r="F33" s="25">
        <f>D33-E33</f>
        <v>7500</v>
      </c>
      <c r="G33" s="25"/>
      <c r="H33" s="25"/>
      <c r="I33" s="25"/>
      <c r="K33">
        <v>1</v>
      </c>
      <c r="L33">
        <v>2</v>
      </c>
      <c r="M33">
        <v>3</v>
      </c>
      <c r="N33">
        <v>4</v>
      </c>
      <c r="O33">
        <v>5</v>
      </c>
      <c r="P33">
        <v>6</v>
      </c>
      <c r="Q33">
        <v>7</v>
      </c>
    </row>
    <row r="34" spans="2:17" x14ac:dyDescent="0.25">
      <c r="B34">
        <v>2</v>
      </c>
      <c r="C34" t="s">
        <v>124</v>
      </c>
      <c r="D34" s="25">
        <f>F33</f>
        <v>7500</v>
      </c>
      <c r="E34" s="25">
        <f>D34*25%</f>
        <v>1875</v>
      </c>
      <c r="F34" s="25">
        <f>D34-E34</f>
        <v>5625</v>
      </c>
      <c r="G34" s="25"/>
      <c r="H34" s="25"/>
      <c r="I34" s="25"/>
      <c r="J34" t="s">
        <v>14</v>
      </c>
      <c r="K34">
        <f>D24*D25</f>
        <v>12825</v>
      </c>
      <c r="L34">
        <f>K34</f>
        <v>12825</v>
      </c>
      <c r="M34">
        <f>K34</f>
        <v>12825</v>
      </c>
      <c r="N34">
        <f>K34</f>
        <v>12825</v>
      </c>
      <c r="O34">
        <f>K34</f>
        <v>12825</v>
      </c>
      <c r="P34">
        <f>K34</f>
        <v>12825</v>
      </c>
      <c r="Q34">
        <f>K34</f>
        <v>12825</v>
      </c>
    </row>
    <row r="35" spans="2:17" x14ac:dyDescent="0.25">
      <c r="B35">
        <v>3</v>
      </c>
      <c r="C35" t="s">
        <v>124</v>
      </c>
      <c r="D35" s="25">
        <f>F34</f>
        <v>5625</v>
      </c>
      <c r="E35" s="25">
        <f>D35*25%</f>
        <v>1406.25</v>
      </c>
      <c r="F35" s="25">
        <f>D35-E35</f>
        <v>4218.75</v>
      </c>
      <c r="G35" s="25"/>
      <c r="H35" s="25"/>
      <c r="I35" s="25"/>
      <c r="J35" t="s">
        <v>105</v>
      </c>
      <c r="K35">
        <f>D24*D26</f>
        <v>6682.5</v>
      </c>
      <c r="L35">
        <f>K35</f>
        <v>6682.5</v>
      </c>
      <c r="M35">
        <f>K35</f>
        <v>6682.5</v>
      </c>
      <c r="N35">
        <f>K35</f>
        <v>6682.5</v>
      </c>
      <c r="O35">
        <f>K35</f>
        <v>6682.5</v>
      </c>
      <c r="P35">
        <f>K35</f>
        <v>6682.5</v>
      </c>
      <c r="Q35">
        <f>K35</f>
        <v>6682.5</v>
      </c>
    </row>
    <row r="36" spans="2:17" x14ac:dyDescent="0.25">
      <c r="B36">
        <v>4</v>
      </c>
      <c r="C36" t="s">
        <v>124</v>
      </c>
      <c r="D36" s="25">
        <f t="shared" ref="D36:D39" si="9">F35</f>
        <v>4218.75</v>
      </c>
      <c r="E36" s="25">
        <f t="shared" ref="E36:E39" si="10">D36*25%</f>
        <v>1054.6875</v>
      </c>
      <c r="F36" s="25">
        <f t="shared" ref="F36:F39" si="11">D36-E36</f>
        <v>3164.0625</v>
      </c>
      <c r="G36" s="25"/>
      <c r="H36" s="25"/>
      <c r="I36" s="25"/>
      <c r="J36" t="s">
        <v>106</v>
      </c>
      <c r="K36">
        <f>K34-K35</f>
        <v>6142.5</v>
      </c>
      <c r="L36">
        <f t="shared" ref="L36" si="12">L34-L35</f>
        <v>6142.5</v>
      </c>
      <c r="M36">
        <f t="shared" ref="M36" si="13">M34-M35</f>
        <v>6142.5</v>
      </c>
      <c r="N36">
        <f t="shared" ref="N36" si="14">N34-N35</f>
        <v>6142.5</v>
      </c>
      <c r="O36">
        <f t="shared" ref="O36" si="15">O34-O35</f>
        <v>6142.5</v>
      </c>
      <c r="P36">
        <f t="shared" ref="P36" si="16">P34-P35</f>
        <v>6142.5</v>
      </c>
      <c r="Q36">
        <f t="shared" ref="Q36" si="17">Q34-Q35</f>
        <v>6142.5</v>
      </c>
    </row>
    <row r="37" spans="2:17" x14ac:dyDescent="0.25">
      <c r="B37">
        <v>5</v>
      </c>
      <c r="C37" t="s">
        <v>124</v>
      </c>
      <c r="D37" s="25">
        <f t="shared" si="9"/>
        <v>3164.0625</v>
      </c>
      <c r="E37" s="25">
        <f t="shared" si="10"/>
        <v>791.015625</v>
      </c>
      <c r="F37" s="25">
        <f t="shared" si="11"/>
        <v>2373.046875</v>
      </c>
      <c r="G37" s="25"/>
      <c r="H37" s="25"/>
      <c r="I37" s="25"/>
      <c r="J37" t="s">
        <v>107</v>
      </c>
      <c r="K37">
        <f>D27</f>
        <v>4200</v>
      </c>
      <c r="L37">
        <f>K37</f>
        <v>4200</v>
      </c>
      <c r="M37">
        <f>K37</f>
        <v>4200</v>
      </c>
      <c r="N37">
        <f>K37</f>
        <v>4200</v>
      </c>
      <c r="O37">
        <f>K37</f>
        <v>4200</v>
      </c>
      <c r="P37">
        <f>K37</f>
        <v>4200</v>
      </c>
      <c r="Q37">
        <f>K37</f>
        <v>4200</v>
      </c>
    </row>
    <row r="38" spans="2:17" x14ac:dyDescent="0.25">
      <c r="B38">
        <v>6</v>
      </c>
      <c r="C38" t="s">
        <v>124</v>
      </c>
      <c r="D38" s="25">
        <f t="shared" si="9"/>
        <v>2373.046875</v>
      </c>
      <c r="E38" s="25">
        <f t="shared" si="10"/>
        <v>593.26171875</v>
      </c>
      <c r="F38" s="25">
        <f t="shared" si="11"/>
        <v>1779.78515625</v>
      </c>
      <c r="G38" s="25"/>
      <c r="H38" s="25"/>
      <c r="I38" s="25"/>
      <c r="J38" t="s">
        <v>108</v>
      </c>
      <c r="K38">
        <f>K17</f>
        <v>2500</v>
      </c>
      <c r="L38">
        <f t="shared" ref="L38:Q38" si="18">L17</f>
        <v>1875</v>
      </c>
      <c r="M38">
        <f t="shared" si="18"/>
        <v>1406.25</v>
      </c>
      <c r="N38">
        <f t="shared" si="18"/>
        <v>1054.6875</v>
      </c>
      <c r="O38">
        <f t="shared" si="18"/>
        <v>791.015625</v>
      </c>
      <c r="P38">
        <f t="shared" si="18"/>
        <v>593.26171875</v>
      </c>
      <c r="Q38">
        <f t="shared" si="18"/>
        <v>444.9462890625</v>
      </c>
    </row>
    <row r="39" spans="2:17" x14ac:dyDescent="0.25">
      <c r="B39">
        <v>7</v>
      </c>
      <c r="C39" t="s">
        <v>124</v>
      </c>
      <c r="D39" s="25">
        <f t="shared" si="9"/>
        <v>1779.78515625</v>
      </c>
      <c r="E39" s="25">
        <f t="shared" si="10"/>
        <v>444.9462890625</v>
      </c>
      <c r="F39" s="25">
        <f t="shared" si="11"/>
        <v>1334.8388671875</v>
      </c>
      <c r="G39" s="25"/>
      <c r="H39" s="25"/>
      <c r="I39" s="25"/>
      <c r="J39" t="s">
        <v>109</v>
      </c>
      <c r="K39" s="25">
        <f>K36-K37-K38</f>
        <v>-557.5</v>
      </c>
      <c r="L39" s="25">
        <f t="shared" ref="L39" si="19">L36-L37-L38</f>
        <v>67.5</v>
      </c>
      <c r="M39" s="25">
        <f t="shared" ref="M39" si="20">M36-M37-M38</f>
        <v>536.25</v>
      </c>
      <c r="N39" s="25">
        <f t="shared" ref="N39" si="21">N36-N37-N38</f>
        <v>887.8125</v>
      </c>
      <c r="O39" s="25">
        <f t="shared" ref="O39" si="22">O36-O37-O38</f>
        <v>1151.484375</v>
      </c>
      <c r="P39" s="25">
        <f t="shared" ref="P39" si="23">P36-P37-P38</f>
        <v>1349.23828125</v>
      </c>
      <c r="Q39" s="25">
        <f t="shared" ref="Q39" si="24">Q36-Q37-Q38</f>
        <v>1497.5537109375</v>
      </c>
    </row>
    <row r="40" spans="2:17" x14ac:dyDescent="0.25">
      <c r="J40" t="s">
        <v>110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2:17" x14ac:dyDescent="0.25">
      <c r="J41" t="s">
        <v>111</v>
      </c>
      <c r="K41" s="25">
        <f>K39-K40</f>
        <v>-557.5</v>
      </c>
      <c r="L41" s="25">
        <f t="shared" ref="L41" si="25">L39-L40</f>
        <v>67.5</v>
      </c>
      <c r="M41" s="25">
        <f t="shared" ref="M41" si="26">M39-M40</f>
        <v>536.25</v>
      </c>
      <c r="N41" s="25">
        <f t="shared" ref="N41" si="27">N39-N40</f>
        <v>887.8125</v>
      </c>
      <c r="O41" s="25">
        <f t="shared" ref="O41" si="28">O39-O40</f>
        <v>1151.484375</v>
      </c>
      <c r="P41" s="25">
        <f t="shared" ref="P41" si="29">P39-P40</f>
        <v>1349.23828125</v>
      </c>
      <c r="Q41" s="25">
        <f t="shared" ref="Q41" si="30">Q39-Q40</f>
        <v>1497.5537109375</v>
      </c>
    </row>
    <row r="42" spans="2:17" x14ac:dyDescent="0.25">
      <c r="J42" t="s">
        <v>112</v>
      </c>
      <c r="K42" s="25">
        <f>K41*$C$20</f>
        <v>-195.125</v>
      </c>
      <c r="L42" s="25">
        <f t="shared" ref="L42" si="31">L41*$C$20</f>
        <v>23.625</v>
      </c>
      <c r="M42" s="25">
        <f t="shared" ref="M42" si="32">M41*$C$20</f>
        <v>187.6875</v>
      </c>
      <c r="N42" s="25">
        <f t="shared" ref="N42" si="33">N41*$C$20</f>
        <v>310.734375</v>
      </c>
      <c r="O42" s="25">
        <f t="shared" ref="O42" si="34">O41*$C$20</f>
        <v>403.01953125</v>
      </c>
      <c r="P42" s="25">
        <f t="shared" ref="P42" si="35">P41*$C$20</f>
        <v>472.23339843749994</v>
      </c>
      <c r="Q42" s="25">
        <f t="shared" ref="Q42" si="36">Q41*$C$20</f>
        <v>524.143798828125</v>
      </c>
    </row>
    <row r="43" spans="2:17" x14ac:dyDescent="0.25">
      <c r="J43" t="s">
        <v>113</v>
      </c>
      <c r="K43" s="25">
        <f>K41-K42</f>
        <v>-362.375</v>
      </c>
      <c r="L43" s="25">
        <f t="shared" ref="L43" si="37">L41-L42</f>
        <v>43.875</v>
      </c>
      <c r="M43" s="25">
        <f t="shared" ref="M43" si="38">M41-M42</f>
        <v>348.5625</v>
      </c>
      <c r="N43" s="25">
        <f t="shared" ref="N43" si="39">N41-N42</f>
        <v>577.078125</v>
      </c>
      <c r="O43" s="25">
        <f t="shared" ref="O43" si="40">O41-O42</f>
        <v>748.46484375</v>
      </c>
      <c r="P43" s="25">
        <f t="shared" ref="P43" si="41">P41-P42</f>
        <v>877.0048828125</v>
      </c>
      <c r="Q43" s="25">
        <f t="shared" ref="Q43" si="42">Q41-Q42</f>
        <v>973.409912109375</v>
      </c>
    </row>
    <row r="44" spans="2:17" x14ac:dyDescent="0.25">
      <c r="J44" t="s">
        <v>32</v>
      </c>
      <c r="K44" s="25">
        <f>K38</f>
        <v>2500</v>
      </c>
      <c r="L44" s="25">
        <f t="shared" ref="L44:Q44" si="43">L38</f>
        <v>1875</v>
      </c>
      <c r="M44" s="25">
        <f t="shared" si="43"/>
        <v>1406.25</v>
      </c>
      <c r="N44" s="25">
        <f t="shared" si="43"/>
        <v>1054.6875</v>
      </c>
      <c r="O44" s="25">
        <f t="shared" si="43"/>
        <v>791.015625</v>
      </c>
      <c r="P44" s="25">
        <f t="shared" si="43"/>
        <v>593.26171875</v>
      </c>
      <c r="Q44" s="25">
        <f t="shared" si="43"/>
        <v>444.9462890625</v>
      </c>
    </row>
    <row r="45" spans="2:17" x14ac:dyDescent="0.25">
      <c r="J45" s="3" t="s">
        <v>104</v>
      </c>
      <c r="K45" s="26">
        <f>K43+K44</f>
        <v>2137.625</v>
      </c>
      <c r="L45" s="26">
        <f t="shared" ref="L45" si="44">L43+L44</f>
        <v>1918.875</v>
      </c>
      <c r="M45" s="26">
        <f t="shared" ref="M45" si="45">M43+M44</f>
        <v>1754.8125</v>
      </c>
      <c r="N45" s="26">
        <f t="shared" ref="N45" si="46">N43+N44</f>
        <v>1631.765625</v>
      </c>
      <c r="O45" s="26">
        <f t="shared" ref="O45" si="47">O43+O44</f>
        <v>1539.48046875</v>
      </c>
      <c r="P45" s="26">
        <f t="shared" ref="P45" si="48">P43+P44</f>
        <v>1470.2666015625</v>
      </c>
      <c r="Q45" s="26">
        <f t="shared" ref="Q45" si="49">Q43+Q44</f>
        <v>1418.356201171875</v>
      </c>
    </row>
    <row r="46" spans="2:17" x14ac:dyDescent="0.25">
      <c r="J46" t="s">
        <v>114</v>
      </c>
      <c r="K46">
        <f>1/(1+0.12)^K33</f>
        <v>0.89285714285714279</v>
      </c>
      <c r="L46">
        <f t="shared" ref="L46:Q46" si="50">1/(1+0.12)^L33</f>
        <v>0.79719387755102034</v>
      </c>
      <c r="M46">
        <f t="shared" si="50"/>
        <v>0.71178024781341087</v>
      </c>
      <c r="N46">
        <f t="shared" si="50"/>
        <v>0.63551807840483121</v>
      </c>
      <c r="O46">
        <f t="shared" si="50"/>
        <v>0.56742685571859919</v>
      </c>
      <c r="P46">
        <f t="shared" si="50"/>
        <v>0.50663112117732068</v>
      </c>
      <c r="Q46">
        <f t="shared" si="50"/>
        <v>0.45234921533689343</v>
      </c>
    </row>
    <row r="47" spans="2:17" x14ac:dyDescent="0.25">
      <c r="J47" t="s">
        <v>115</v>
      </c>
      <c r="K47">
        <f>K45*K46</f>
        <v>1908.5937499999998</v>
      </c>
      <c r="L47">
        <f t="shared" ref="L47" si="51">L45*L46</f>
        <v>1529.7154017857142</v>
      </c>
      <c r="M47">
        <f t="shared" ref="M47" si="52">M45*M46</f>
        <v>1249.0408761160711</v>
      </c>
      <c r="N47">
        <f t="shared" ref="N47" si="53">N45*N46</f>
        <v>1037.0165544070585</v>
      </c>
      <c r="O47">
        <f t="shared" ref="O47" si="54">O45*O46</f>
        <v>873.54256182300765</v>
      </c>
      <c r="P47">
        <f t="shared" ref="P47" si="55">P45*P46</f>
        <v>744.88281677917837</v>
      </c>
      <c r="Q47">
        <f t="shared" ref="Q47" si="56">Q45*Q46</f>
        <v>641.59231466831466</v>
      </c>
    </row>
    <row r="48" spans="2:17" x14ac:dyDescent="0.25">
      <c r="J48" t="s">
        <v>116</v>
      </c>
      <c r="K48">
        <f>SUM(K47:Q47)</f>
        <v>7984.384275579343</v>
      </c>
    </row>
    <row r="49" spans="10:17" x14ac:dyDescent="0.25">
      <c r="J49" t="s">
        <v>117</v>
      </c>
      <c r="K49">
        <f>D35</f>
        <v>5625</v>
      </c>
    </row>
    <row r="50" spans="10:17" x14ac:dyDescent="0.25">
      <c r="J50" s="3" t="s">
        <v>118</v>
      </c>
      <c r="K50" s="3">
        <f>K48-K49</f>
        <v>2359.384275579343</v>
      </c>
      <c r="L50" t="s">
        <v>119</v>
      </c>
      <c r="M50" t="s">
        <v>11</v>
      </c>
    </row>
    <row r="53" spans="10:17" x14ac:dyDescent="0.25">
      <c r="J53" s="3" t="s">
        <v>104</v>
      </c>
      <c r="K53" s="3" t="s">
        <v>128</v>
      </c>
    </row>
    <row r="54" spans="10:17" x14ac:dyDescent="0.25">
      <c r="K54">
        <v>1</v>
      </c>
      <c r="L54">
        <v>2</v>
      </c>
      <c r="M54">
        <v>3</v>
      </c>
      <c r="N54">
        <v>4</v>
      </c>
      <c r="O54">
        <v>5</v>
      </c>
      <c r="P54">
        <v>6</v>
      </c>
      <c r="Q54">
        <v>7</v>
      </c>
    </row>
    <row r="55" spans="10:17" x14ac:dyDescent="0.25">
      <c r="J55" t="s">
        <v>14</v>
      </c>
      <c r="K55">
        <f>G24*G25</f>
        <v>9562.5</v>
      </c>
      <c r="L55">
        <f>K55</f>
        <v>9562.5</v>
      </c>
      <c r="M55">
        <f>K55</f>
        <v>9562.5</v>
      </c>
      <c r="N55">
        <f>K55</f>
        <v>9562.5</v>
      </c>
      <c r="O55">
        <f>K55</f>
        <v>9562.5</v>
      </c>
      <c r="P55">
        <f>K55</f>
        <v>9562.5</v>
      </c>
      <c r="Q55">
        <f>K55</f>
        <v>9562.5</v>
      </c>
    </row>
    <row r="56" spans="10:17" x14ac:dyDescent="0.25">
      <c r="J56" t="s">
        <v>105</v>
      </c>
      <c r="K56">
        <f>G26*G24</f>
        <v>5568.75</v>
      </c>
      <c r="L56">
        <f>K56</f>
        <v>5568.75</v>
      </c>
      <c r="M56">
        <f>K56</f>
        <v>5568.75</v>
      </c>
      <c r="N56">
        <f>K56</f>
        <v>5568.75</v>
      </c>
      <c r="O56">
        <f>K56</f>
        <v>5568.75</v>
      </c>
      <c r="P56">
        <f>K56</f>
        <v>5568.75</v>
      </c>
      <c r="Q56">
        <f>K56</f>
        <v>5568.75</v>
      </c>
    </row>
    <row r="57" spans="10:17" x14ac:dyDescent="0.25">
      <c r="J57" t="s">
        <v>106</v>
      </c>
      <c r="K57">
        <f>K55-K56</f>
        <v>3993.75</v>
      </c>
      <c r="L57">
        <f t="shared" ref="L57" si="57">L55-L56</f>
        <v>3993.75</v>
      </c>
      <c r="M57">
        <f t="shared" ref="M57" si="58">M55-M56</f>
        <v>3993.75</v>
      </c>
      <c r="N57">
        <f t="shared" ref="N57" si="59">N55-N56</f>
        <v>3993.75</v>
      </c>
      <c r="O57">
        <f t="shared" ref="O57" si="60">O55-O56</f>
        <v>3993.75</v>
      </c>
      <c r="P57">
        <f t="shared" ref="P57" si="61">P55-P56</f>
        <v>3993.75</v>
      </c>
      <c r="Q57">
        <f t="shared" ref="Q57" si="62">Q55-Q56</f>
        <v>3993.75</v>
      </c>
    </row>
    <row r="58" spans="10:17" x14ac:dyDescent="0.25">
      <c r="J58" t="s">
        <v>107</v>
      </c>
      <c r="K58">
        <f>G27</f>
        <v>4800</v>
      </c>
      <c r="L58">
        <f>K58</f>
        <v>4800</v>
      </c>
      <c r="M58">
        <f>K58</f>
        <v>4800</v>
      </c>
      <c r="N58">
        <f>K58</f>
        <v>4800</v>
      </c>
      <c r="O58">
        <f>K58</f>
        <v>4800</v>
      </c>
      <c r="P58">
        <f>K58</f>
        <v>4800</v>
      </c>
      <c r="Q58">
        <f>K58</f>
        <v>4800</v>
      </c>
    </row>
    <row r="59" spans="10:17" x14ac:dyDescent="0.25">
      <c r="J59" t="s">
        <v>108</v>
      </c>
      <c r="K59">
        <f>K38</f>
        <v>2500</v>
      </c>
      <c r="L59">
        <f t="shared" ref="L59:Q59" si="63">L38</f>
        <v>1875</v>
      </c>
      <c r="M59">
        <f t="shared" si="63"/>
        <v>1406.25</v>
      </c>
      <c r="N59">
        <f t="shared" si="63"/>
        <v>1054.6875</v>
      </c>
      <c r="O59">
        <f t="shared" si="63"/>
        <v>791.015625</v>
      </c>
      <c r="P59">
        <f t="shared" si="63"/>
        <v>593.26171875</v>
      </c>
      <c r="Q59">
        <f t="shared" si="63"/>
        <v>444.9462890625</v>
      </c>
    </row>
    <row r="60" spans="10:17" x14ac:dyDescent="0.25">
      <c r="J60" t="s">
        <v>109</v>
      </c>
      <c r="K60" s="25">
        <f>K57-K58-K59</f>
        <v>-3306.25</v>
      </c>
      <c r="L60" s="25">
        <f t="shared" ref="L60" si="64">L57-L58-L59</f>
        <v>-2681.25</v>
      </c>
      <c r="M60" s="25">
        <f t="shared" ref="M60" si="65">M57-M58-M59</f>
        <v>-2212.5</v>
      </c>
      <c r="N60" s="25">
        <f t="shared" ref="N60" si="66">N57-N58-N59</f>
        <v>-1860.9375</v>
      </c>
      <c r="O60" s="25">
        <f t="shared" ref="O60" si="67">O57-O58-O59</f>
        <v>-1597.265625</v>
      </c>
      <c r="P60" s="25">
        <f t="shared" ref="P60" si="68">P57-P58-P59</f>
        <v>-1399.51171875</v>
      </c>
      <c r="Q60" s="25">
        <f t="shared" ref="Q60" si="69">Q57-Q58-Q59</f>
        <v>-1251.1962890625</v>
      </c>
    </row>
    <row r="61" spans="10:17" x14ac:dyDescent="0.25">
      <c r="J61" t="s">
        <v>110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0:17" x14ac:dyDescent="0.25">
      <c r="J62" t="s">
        <v>111</v>
      </c>
      <c r="K62" s="25">
        <f>K60-K61</f>
        <v>-3306.25</v>
      </c>
      <c r="L62" s="25">
        <f t="shared" ref="L62" si="70">L60-L61</f>
        <v>-2681.25</v>
      </c>
      <c r="M62" s="25">
        <f t="shared" ref="M62" si="71">M60-M61</f>
        <v>-2212.5</v>
      </c>
      <c r="N62" s="25">
        <f t="shared" ref="N62" si="72">N60-N61</f>
        <v>-1860.9375</v>
      </c>
      <c r="O62" s="25">
        <f t="shared" ref="O62" si="73">O60-O61</f>
        <v>-1597.265625</v>
      </c>
      <c r="P62" s="25">
        <f t="shared" ref="P62" si="74">P60-P61</f>
        <v>-1399.51171875</v>
      </c>
      <c r="Q62" s="25">
        <f t="shared" ref="Q62" si="75">Q60-Q61</f>
        <v>-1251.1962890625</v>
      </c>
    </row>
    <row r="63" spans="10:17" x14ac:dyDescent="0.25">
      <c r="J63" t="s">
        <v>112</v>
      </c>
      <c r="K63" s="25">
        <f>K62*$C$20</f>
        <v>-1157.1875</v>
      </c>
      <c r="L63" s="25">
        <f t="shared" ref="L63" si="76">L62*$C$20</f>
        <v>-938.43749999999989</v>
      </c>
      <c r="M63" s="25">
        <f t="shared" ref="M63" si="77">M62*$C$20</f>
        <v>-774.375</v>
      </c>
      <c r="N63" s="25">
        <f t="shared" ref="N63" si="78">N62*$C$20</f>
        <v>-651.328125</v>
      </c>
      <c r="O63" s="25">
        <f t="shared" ref="O63" si="79">O62*$C$20</f>
        <v>-559.04296875</v>
      </c>
      <c r="P63" s="25">
        <f t="shared" ref="P63" si="80">P62*$C$20</f>
        <v>-489.82910156249994</v>
      </c>
      <c r="Q63" s="25">
        <f t="shared" ref="Q63" si="81">Q62*$C$20</f>
        <v>-437.918701171875</v>
      </c>
    </row>
    <row r="64" spans="10:17" x14ac:dyDescent="0.25">
      <c r="J64" t="s">
        <v>113</v>
      </c>
      <c r="K64" s="25">
        <f>K62-K63</f>
        <v>-2149.0625</v>
      </c>
      <c r="L64" s="25">
        <f t="shared" ref="L64" si="82">L62-L63</f>
        <v>-1742.8125</v>
      </c>
      <c r="M64" s="25">
        <f t="shared" ref="M64" si="83">M62-M63</f>
        <v>-1438.125</v>
      </c>
      <c r="N64" s="25">
        <f t="shared" ref="N64" si="84">N62-N63</f>
        <v>-1209.609375</v>
      </c>
      <c r="O64" s="25">
        <f t="shared" ref="O64" si="85">O62-O63</f>
        <v>-1038.22265625</v>
      </c>
      <c r="P64" s="25">
        <f t="shared" ref="P64" si="86">P62-P63</f>
        <v>-909.6826171875</v>
      </c>
      <c r="Q64" s="25">
        <f t="shared" ref="Q64" si="87">Q62-Q63</f>
        <v>-813.277587890625</v>
      </c>
    </row>
    <row r="65" spans="10:17" x14ac:dyDescent="0.25">
      <c r="J65" t="s">
        <v>32</v>
      </c>
      <c r="K65" s="25">
        <f>K59</f>
        <v>2500</v>
      </c>
      <c r="L65" s="25">
        <f t="shared" ref="L65:Q65" si="88">L59</f>
        <v>1875</v>
      </c>
      <c r="M65" s="25">
        <f t="shared" si="88"/>
        <v>1406.25</v>
      </c>
      <c r="N65" s="25">
        <f t="shared" si="88"/>
        <v>1054.6875</v>
      </c>
      <c r="O65" s="25">
        <f t="shared" si="88"/>
        <v>791.015625</v>
      </c>
      <c r="P65" s="25">
        <f t="shared" si="88"/>
        <v>593.26171875</v>
      </c>
      <c r="Q65" s="25">
        <f t="shared" si="88"/>
        <v>444.9462890625</v>
      </c>
    </row>
    <row r="66" spans="10:17" x14ac:dyDescent="0.25">
      <c r="J66" s="3" t="s">
        <v>104</v>
      </c>
      <c r="K66" s="26">
        <f>K64+K65</f>
        <v>350.9375</v>
      </c>
      <c r="L66" s="26">
        <f t="shared" ref="L66" si="89">L64+L65</f>
        <v>132.1875</v>
      </c>
      <c r="M66" s="26">
        <f t="shared" ref="M66" si="90">M64+M65</f>
        <v>-31.875</v>
      </c>
      <c r="N66" s="26">
        <f t="shared" ref="N66" si="91">N64+N65</f>
        <v>-154.921875</v>
      </c>
      <c r="O66" s="26">
        <f t="shared" ref="O66" si="92">O64+O65</f>
        <v>-247.20703125</v>
      </c>
      <c r="P66" s="26">
        <f t="shared" ref="P66" si="93">P64+P65</f>
        <v>-316.4208984375</v>
      </c>
      <c r="Q66" s="26">
        <f t="shared" ref="Q66" si="94">Q64+Q65</f>
        <v>-368.331298828125</v>
      </c>
    </row>
    <row r="67" spans="10:17" x14ac:dyDescent="0.25">
      <c r="J67" t="s">
        <v>114</v>
      </c>
      <c r="K67">
        <f>1/(1+0.12)^K54</f>
        <v>0.89285714285714279</v>
      </c>
      <c r="L67">
        <f t="shared" ref="L67:Q67" si="95">1/(1+0.12)^L54</f>
        <v>0.79719387755102034</v>
      </c>
      <c r="M67">
        <f t="shared" si="95"/>
        <v>0.71178024781341087</v>
      </c>
      <c r="N67">
        <f t="shared" si="95"/>
        <v>0.63551807840483121</v>
      </c>
      <c r="O67">
        <f t="shared" si="95"/>
        <v>0.56742685571859919</v>
      </c>
      <c r="P67">
        <f t="shared" si="95"/>
        <v>0.50663112117732068</v>
      </c>
      <c r="Q67">
        <f t="shared" si="95"/>
        <v>0.45234921533689343</v>
      </c>
    </row>
    <row r="68" spans="10:17" x14ac:dyDescent="0.25">
      <c r="J68" t="s">
        <v>115</v>
      </c>
      <c r="K68">
        <f>K66*K67</f>
        <v>313.33705357142856</v>
      </c>
      <c r="L68">
        <f t="shared" ref="L68" si="96">L66*L67</f>
        <v>105.3790656887755</v>
      </c>
      <c r="M68">
        <f t="shared" ref="M68" si="97">M66*M67</f>
        <v>-22.687995399052472</v>
      </c>
      <c r="N68">
        <f t="shared" ref="N68" si="98">N66*N67</f>
        <v>-98.45565230287346</v>
      </c>
      <c r="O68">
        <f t="shared" ref="O68" si="99">O66*O67</f>
        <v>-140.271908453717</v>
      </c>
      <c r="P68">
        <f t="shared" ref="P68" si="100">P66*P67</f>
        <v>-160.30867453932575</v>
      </c>
      <c r="Q68">
        <f t="shared" ref="Q68" si="101">Q66*Q67</f>
        <v>-166.61437400892115</v>
      </c>
    </row>
    <row r="69" spans="10:17" x14ac:dyDescent="0.25">
      <c r="J69" t="s">
        <v>116</v>
      </c>
      <c r="K69">
        <f>SUM(K68:Q68)</f>
        <v>-169.62248544368575</v>
      </c>
    </row>
    <row r="70" spans="10:17" x14ac:dyDescent="0.25">
      <c r="J70" t="s">
        <v>117</v>
      </c>
      <c r="K70">
        <f>D56</f>
        <v>0</v>
      </c>
    </row>
    <row r="71" spans="10:17" x14ac:dyDescent="0.25">
      <c r="J71" s="3" t="s">
        <v>118</v>
      </c>
      <c r="K71" s="3">
        <f>K69-K70</f>
        <v>-169.62248544368575</v>
      </c>
      <c r="L71" t="s">
        <v>131</v>
      </c>
      <c r="M71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5E3588147654284604D4E812B6D70" ma:contentTypeVersion="28" ma:contentTypeDescription="Create a new document." ma:contentTypeScope="" ma:versionID="3a08c31e4fc4a7e2c32eb1cced69c24d">
  <xsd:schema xmlns:xsd="http://www.w3.org/2001/XMLSchema" xmlns:xs="http://www.w3.org/2001/XMLSchema" xmlns:p="http://schemas.microsoft.com/office/2006/metadata/properties" xmlns:ns2="0a2451e9-b2b7-43a3-aada-52e3e0c35c47" targetNamespace="http://schemas.microsoft.com/office/2006/metadata/properties" ma:root="true" ma:fieldsID="25526ca13001591f69b306ad34a4051b" ns2:_="">
    <xsd:import namespace="0a2451e9-b2b7-43a3-aada-52e3e0c35c47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451e9-b2b7-43a3-aada-52e3e0c35c47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0a2451e9-b2b7-43a3-aada-52e3e0c35c47" xsi:nil="true"/>
    <CultureName xmlns="0a2451e9-b2b7-43a3-aada-52e3e0c35c47" xsi:nil="true"/>
    <LMS_Mappings xmlns="0a2451e9-b2b7-43a3-aada-52e3e0c35c47" xsi:nil="true"/>
    <Invited_Students xmlns="0a2451e9-b2b7-43a3-aada-52e3e0c35c47" xsi:nil="true"/>
    <IsNotebookLocked xmlns="0a2451e9-b2b7-43a3-aada-52e3e0c35c47" xsi:nil="true"/>
    <Math_Settings xmlns="0a2451e9-b2b7-43a3-aada-52e3e0c35c47" xsi:nil="true"/>
    <Self_Registration_Enabled xmlns="0a2451e9-b2b7-43a3-aada-52e3e0c35c47" xsi:nil="true"/>
    <Teachers xmlns="0a2451e9-b2b7-43a3-aada-52e3e0c35c47">
      <UserInfo>
        <DisplayName/>
        <AccountId xsi:nil="true"/>
        <AccountType/>
      </UserInfo>
    </Teachers>
    <Students xmlns="0a2451e9-b2b7-43a3-aada-52e3e0c35c47">
      <UserInfo>
        <DisplayName/>
        <AccountId xsi:nil="true"/>
        <AccountType/>
      </UserInfo>
    </Students>
    <Student_Groups xmlns="0a2451e9-b2b7-43a3-aada-52e3e0c35c47">
      <UserInfo>
        <DisplayName/>
        <AccountId xsi:nil="true"/>
        <AccountType/>
      </UserInfo>
    </Student_Groups>
    <Templates xmlns="0a2451e9-b2b7-43a3-aada-52e3e0c35c47" xsi:nil="true"/>
    <Has_Teacher_Only_SectionGroup xmlns="0a2451e9-b2b7-43a3-aada-52e3e0c35c47" xsi:nil="true"/>
    <NotebookType xmlns="0a2451e9-b2b7-43a3-aada-52e3e0c35c47" xsi:nil="true"/>
    <Distribution_Groups xmlns="0a2451e9-b2b7-43a3-aada-52e3e0c35c47" xsi:nil="true"/>
    <AppVersion xmlns="0a2451e9-b2b7-43a3-aada-52e3e0c35c47" xsi:nil="true"/>
    <Invited_Teachers xmlns="0a2451e9-b2b7-43a3-aada-52e3e0c35c47" xsi:nil="true"/>
    <Teams_Channel_Section_Location xmlns="0a2451e9-b2b7-43a3-aada-52e3e0c35c47" xsi:nil="true"/>
    <Owner xmlns="0a2451e9-b2b7-43a3-aada-52e3e0c35c47">
      <UserInfo>
        <DisplayName/>
        <AccountId xsi:nil="true"/>
        <AccountType/>
      </UserInfo>
    </Owner>
    <DefaultSectionNames xmlns="0a2451e9-b2b7-43a3-aada-52e3e0c35c47" xsi:nil="true"/>
    <TeamsChannelId xmlns="0a2451e9-b2b7-43a3-aada-52e3e0c35c47" xsi:nil="true"/>
    <Is_Collaboration_Space_Locked xmlns="0a2451e9-b2b7-43a3-aada-52e3e0c35c47" xsi:nil="true"/>
  </documentManagement>
</p:properties>
</file>

<file path=customXml/itemProps1.xml><?xml version="1.0" encoding="utf-8"?>
<ds:datastoreItem xmlns:ds="http://schemas.openxmlformats.org/officeDocument/2006/customXml" ds:itemID="{1BA97B24-2B41-44DC-B2A8-2FF12DC8DE98}"/>
</file>

<file path=customXml/itemProps2.xml><?xml version="1.0" encoding="utf-8"?>
<ds:datastoreItem xmlns:ds="http://schemas.openxmlformats.org/officeDocument/2006/customXml" ds:itemID="{0AD84A89-C5B4-489F-ADAF-0AF73638F0EB}"/>
</file>

<file path=customXml/itemProps3.xml><?xml version="1.0" encoding="utf-8"?>
<ds:datastoreItem xmlns:ds="http://schemas.openxmlformats.org/officeDocument/2006/customXml" ds:itemID="{BBDA67B3-D9CC-46C4-A7A6-05273FEEE2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Chatbot</vt:lpstr>
      <vt:lpstr>NPV</vt:lpstr>
      <vt:lpstr>IRR</vt:lpstr>
      <vt:lpstr>PI</vt:lpstr>
      <vt:lpstr>Discounted Payback</vt:lpstr>
      <vt:lpstr>Risk Analysis_CB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2026-01-18T10:00:19Z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0x0101000A75E3588147654284604D4E812B6D70</vt:lpwstr>
  </property>
</Properties>
</file>