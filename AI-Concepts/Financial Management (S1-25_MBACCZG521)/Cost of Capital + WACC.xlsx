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xl/calcChain.xml" ContentType="application/vnd.openxmlformats-officedocument.spreadsheetml.calcChain+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heet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40" i="1" l="1"/>
  <c r="J36" i="1"/>
  <c r="J37" i="1"/>
  <c r="J38" i="1"/>
  <c r="J39" i="1"/>
  <c r="J35" i="1"/>
  <c r="I36" i="1"/>
  <c r="I37" i="1"/>
  <c r="I38" i="1"/>
  <c r="I39" i="1"/>
  <c r="I35" i="1"/>
  <c r="H36" i="1"/>
  <c r="H37" i="1"/>
  <c r="H38" i="1"/>
  <c r="H39" i="1"/>
  <c r="H35" i="1"/>
  <c r="G40" i="1"/>
  <c r="G36" i="1"/>
  <c r="G37" i="1"/>
  <c r="G38" i="1"/>
  <c r="G39" i="1"/>
  <c r="G35" i="1"/>
  <c r="C29" i="1"/>
  <c r="C27" i="1"/>
  <c r="C25" i="1"/>
  <c r="C24" i="1"/>
  <c r="E40" i="1"/>
  <c r="E36" i="1"/>
  <c r="E37" i="1"/>
  <c r="E38" i="1"/>
  <c r="E39" i="1"/>
  <c r="E35" i="1"/>
  <c r="D40" i="1"/>
  <c r="D39" i="1"/>
  <c r="D38" i="1"/>
  <c r="D37" i="1"/>
  <c r="D36" i="1"/>
  <c r="D35" i="1"/>
  <c r="C39" i="1"/>
  <c r="Q30" i="1"/>
  <c r="C38" i="1"/>
  <c r="O30" i="1"/>
  <c r="O28" i="1"/>
  <c r="O27" i="1"/>
  <c r="C36" i="1"/>
  <c r="M28" i="1"/>
  <c r="M27" i="1"/>
  <c r="C37" i="1"/>
  <c r="C35" i="1"/>
  <c r="K27" i="1"/>
  <c r="B40" i="1"/>
  <c r="C20" i="1"/>
  <c r="C19" i="1"/>
  <c r="F15" i="1"/>
  <c r="F10" i="1"/>
  <c r="F11" i="1"/>
  <c r="F12" i="1"/>
  <c r="F13" i="1"/>
  <c r="F14" i="1"/>
  <c r="F9" i="1"/>
  <c r="E10" i="1"/>
  <c r="E11" i="1"/>
  <c r="E12" i="1"/>
  <c r="E13" i="1"/>
  <c r="E14" i="1"/>
  <c r="E9" i="1"/>
  <c r="D15" i="1"/>
  <c r="D10" i="1"/>
  <c r="D11" i="1"/>
  <c r="D12" i="1"/>
  <c r="D13" i="1"/>
  <c r="D14" i="1"/>
  <c r="D9" i="1"/>
  <c r="C10" i="1"/>
  <c r="C11" i="1"/>
  <c r="C12" i="1"/>
  <c r="C13" i="1"/>
  <c r="C14" i="1"/>
  <c r="C9" i="1"/>
  <c r="B14" i="1"/>
  <c r="B4" i="1"/>
</calcChain>
</file>

<file path=xl/sharedStrings.xml><?xml version="1.0" encoding="utf-8"?>
<sst xmlns="http://schemas.openxmlformats.org/spreadsheetml/2006/main" count="71" uniqueCount="44">
  <si>
    <t>FV</t>
  </si>
  <si>
    <t>P0</t>
  </si>
  <si>
    <t>D</t>
  </si>
  <si>
    <t>n</t>
  </si>
  <si>
    <t>Kp</t>
  </si>
  <si>
    <t>?</t>
  </si>
  <si>
    <t>Year (t)</t>
  </si>
  <si>
    <t>Cash flow</t>
  </si>
  <si>
    <t>PVIF @ 12%</t>
  </si>
  <si>
    <t>PV of CF</t>
  </si>
  <si>
    <t>T1</t>
  </si>
  <si>
    <t>T2</t>
  </si>
  <si>
    <t>PVIF @ 10%</t>
  </si>
  <si>
    <t>Source of Finance</t>
  </si>
  <si>
    <t>Amount in Millions</t>
  </si>
  <si>
    <t>Equity Capital (20 million shares, Rs.10/share)</t>
  </si>
  <si>
    <t>Rs. 200 M</t>
  </si>
  <si>
    <t>Preference Capital, 12 per cent (500,000 shares, Rs. 100/share)</t>
  </si>
  <si>
    <t>Rs. 50 M</t>
  </si>
  <si>
    <t>Retained earnings</t>
  </si>
  <si>
    <t>Rs. 350 M</t>
  </si>
  <si>
    <t>Debentures 14  per cent (1200000 debentures, Rs. 100 par)</t>
  </si>
  <si>
    <t>Rs. 120 M</t>
  </si>
  <si>
    <t>Term Loans, 13 per cent</t>
  </si>
  <si>
    <t>Rs. 80 M</t>
  </si>
  <si>
    <t>Total</t>
  </si>
  <si>
    <t>Rs. 800 M</t>
  </si>
  <si>
    <t>Ke</t>
  </si>
  <si>
    <t>D1</t>
  </si>
  <si>
    <t>g</t>
  </si>
  <si>
    <t>Cost of capital</t>
  </si>
  <si>
    <t>Book value</t>
  </si>
  <si>
    <t>Fv</t>
  </si>
  <si>
    <t>Kd</t>
  </si>
  <si>
    <t>I</t>
  </si>
  <si>
    <t>Tax rate</t>
  </si>
  <si>
    <t>Kd (1-T)</t>
  </si>
  <si>
    <t>Debenture</t>
  </si>
  <si>
    <t>Loan</t>
  </si>
  <si>
    <t>Kd(1-T)</t>
  </si>
  <si>
    <t>WACC</t>
  </si>
  <si>
    <t>Weightage</t>
  </si>
  <si>
    <t>Market Value</t>
  </si>
  <si>
    <t>Book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</si>
</sst>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sz val="11"/>
      <color theme="1"/>
      <name val="Calibri"/>
      <family val="2"/>
      <scheme val="minor"/>
    </font>
    <font>
      <b/>
      <sz val="11"/>
      <color theme="1"/>
      <name val="Calibri"/>
      <family val="2"/>
      <scheme val="minor"/>
    </font>
    <font>
      <b/>
      <sz val="11"/>
      <color rgb="FFFFFFFF"/>
      <name val="Calibri"/>
      <family val="2"/>
    </font>
    <font>
      <sz val="11"/>
      <color rgb="FF000000"/>
      <name val="Calibri"/>
      <family val="2"/>
    </font>
    <font>
      <b/>
      <sz val="11"/>
      <color rgb="FF000000"/>
      <name val="Calibri"/>
      <family val="2"/>
    </font>
  </fonts>
  <fills count="6">
    <fill>
      <patternFill patternType="none"/>
    </fill>
    <fill>
      <patternFill patternType="gray125"/>
    </fill>
    <fill>
      <patternFill patternType="solid">
        <fgColor rgb="FF4F81BD"/>
        <bgColor indexed="64"/>
      </patternFill>
    </fill>
    <fill>
      <patternFill patternType="solid">
        <fgColor rgb="FFD0D8E8"/>
        <bgColor indexed="64"/>
      </patternFill>
    </fill>
    <fill>
      <patternFill patternType="solid">
        <fgColor rgb="FFE9EDF4"/>
        <bgColor indexed="64"/>
      </patternFill>
    </fill>
    <fill>
      <patternFill patternType="solid">
        <fgColor rgb="FFFFFF00"/>
        <bgColor indexed="64"/>
      </patternFill>
    </fill>
  </fills>
  <borders count="5">
    <border>
      <left/>
      <right/>
      <top/>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0">
    <xf numFmtId="0" fontId="0" fillId="0" borderId="0" xfId="0"/>
    <xf numFmtId="0" fontId="3" fillId="2" borderId="1" xfId="0" applyFont="1" applyFill="1" applyBorder="1" applyAlignment="1">
      <alignment horizontal="center" vertical="center" wrapText="1" readingOrder="1"/>
    </xf>
    <xf numFmtId="0" fontId="4" fillId="3" borderId="2" xfId="0" applyFont="1" applyFill="1" applyBorder="1" applyAlignment="1">
      <alignment horizontal="left" vertical="center" wrapText="1" readingOrder="1"/>
    </xf>
    <xf numFmtId="0" fontId="4" fillId="4" borderId="3" xfId="0" applyFont="1" applyFill="1" applyBorder="1" applyAlignment="1">
      <alignment horizontal="left" vertical="center" wrapText="1" readingOrder="1"/>
    </xf>
    <xf numFmtId="0" fontId="4" fillId="3" borderId="3" xfId="0" applyFont="1" applyFill="1" applyBorder="1" applyAlignment="1">
      <alignment horizontal="left" vertical="center" wrapText="1" readingOrder="1"/>
    </xf>
    <xf numFmtId="0" fontId="5" fillId="4" borderId="3" xfId="0" applyFont="1" applyFill="1" applyBorder="1" applyAlignment="1">
      <alignment horizontal="left" vertical="center" wrapText="1" readingOrder="1"/>
    </xf>
    <xf numFmtId="9" fontId="0" fillId="0" borderId="0" xfId="0" applyNumberFormat="1"/>
    <xf numFmtId="0" fontId="2" fillId="0" borderId="0" xfId="0" applyFont="1"/>
    <xf numFmtId="0" fontId="2" fillId="5" borderId="0" xfId="0" applyFont="1" applyFill="1"/>
    <xf numFmtId="10" fontId="2" fillId="5" borderId="0" xfId="0" applyNumberFormat="1" applyFont="1" applyFill="1"/>
    <xf numFmtId="10" fontId="2" fillId="5" borderId="0" xfId="1" applyNumberFormat="1" applyFont="1" applyFill="1"/>
    <xf numFmtId="0" fontId="3" fillId="2" borderId="4" xfId="0" applyFont="1" applyFill="1" applyBorder="1" applyAlignment="1">
      <alignment horizontal="center" vertical="center" wrapText="1" readingOrder="1"/>
    </xf>
    <xf numFmtId="0" fontId="4" fillId="3" borderId="4" xfId="0" applyFont="1" applyFill="1" applyBorder="1" applyAlignment="1">
      <alignment horizontal="left" vertical="center" wrapText="1" readingOrder="1"/>
    </xf>
    <xf numFmtId="0" fontId="0" fillId="0" borderId="4" xfId="0" applyBorder="1"/>
    <xf numFmtId="10" fontId="0" fillId="0" borderId="4" xfId="0" applyNumberFormat="1" applyBorder="1"/>
    <xf numFmtId="10" fontId="0" fillId="0" borderId="4" xfId="1" applyNumberFormat="1" applyFont="1" applyBorder="1"/>
    <xf numFmtId="0" fontId="4" fillId="4" borderId="4" xfId="0" applyFont="1" applyFill="1" applyBorder="1" applyAlignment="1">
      <alignment horizontal="left" vertical="center" wrapText="1" readingOrder="1"/>
    </xf>
    <xf numFmtId="0" fontId="5" fillId="4" borderId="4" xfId="0" applyFont="1" applyFill="1" applyBorder="1" applyAlignment="1">
      <alignment horizontal="left" vertical="center" wrapText="1" readingOrder="1"/>
    </xf>
    <xf numFmtId="0" fontId="2" fillId="0" borderId="4" xfId="0" applyFont="1" applyBorder="1"/>
    <xf numFmtId="10" fontId="2" fillId="5" borderId="4" xfId="0" applyNumberFormat="1" applyFont="1" applyFill="1" applyBorder="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1</xdr:colOff>
      <xdr:row>22</xdr:row>
      <xdr:rowOff>0</xdr:rowOff>
    </xdr:from>
    <xdr:to>
      <xdr:col>8</xdr:col>
      <xdr:colOff>111126</xdr:colOff>
      <xdr:row>26</xdr:row>
      <xdr:rowOff>361950</xdr:rowOff>
    </xdr:to>
    <xdr:sp macro="" textlink="">
      <xdr:nvSpPr>
        <xdr:cNvPr id="2" name="Content Placeholder 1">
          <a:extLst>
            <a:ext uri="{FF2B5EF4-FFF2-40B4-BE49-F238E27FC236}">
              <a16:creationId xmlns:a16="http://schemas.microsoft.com/office/drawing/2014/main" id="{732A1F9E-E64B-4C38-8C5C-D3E0F0A60FEB}"/>
            </a:ext>
          </a:extLst>
        </xdr:cNvPr>
        <xdr:cNvSpPr>
          <a:spLocks noGrp="1"/>
        </xdr:cNvSpPr>
      </xdr:nvSpPr>
      <xdr:spPr>
        <a:xfrm>
          <a:off x="3770314" y="4198938"/>
          <a:ext cx="2698750" cy="1925637"/>
        </a:xfrm>
        <a:prstGeom prst="rect">
          <a:avLst/>
        </a:prstGeom>
      </xdr:spPr>
      <xdr:txBody>
        <a:bodyPr vert="horz" wrap="square" lIns="91440" tIns="45720" rIns="91440" bIns="45720" rtlCol="0">
          <a:normAutofit/>
        </a:bodyPr>
        <a:lstStyle>
          <a:lvl1pPr marL="342900" marR="0" indent="-342900" algn="l" defTabSz="914400" rtl="0" eaLnBrk="1" fontAlgn="auto" latinLnBrk="0" hangingPunct="1">
            <a:lnSpc>
              <a:spcPct val="100000"/>
            </a:lnSpc>
            <a:spcBef>
              <a:spcPct val="20000"/>
            </a:spcBef>
            <a:spcAft>
              <a:spcPts val="0"/>
            </a:spcAft>
            <a:buClr>
              <a:srgbClr val="101141"/>
            </a:buClr>
            <a:buSzTx/>
            <a:buFont typeface="Arial" pitchFamily="34" charset="0"/>
            <a:buNone/>
            <a:tabLst/>
            <a:defRPr sz="2400" kern="1200">
              <a:solidFill>
                <a:schemeClr val="tx1"/>
              </a:solidFill>
              <a:latin typeface="Arial" pitchFamily="34" charset="0"/>
              <a:ea typeface="+mn-ea"/>
              <a:cs typeface="Arial" pitchFamily="34" charset="0"/>
            </a:defRPr>
          </a:lvl1pPr>
          <a:lvl2pPr marL="742950" marR="0" indent="-285750" algn="l" defTabSz="914400" rtl="0" eaLnBrk="1" fontAlgn="auto" latinLnBrk="0" hangingPunct="1">
            <a:lnSpc>
              <a:spcPct val="100000"/>
            </a:lnSpc>
            <a:spcBef>
              <a:spcPct val="20000"/>
            </a:spcBef>
            <a:spcAft>
              <a:spcPts val="0"/>
            </a:spcAft>
            <a:buClrTx/>
            <a:buSzTx/>
            <a:buFont typeface="Arial" pitchFamily="34" charset="0"/>
            <a:buChar char="–"/>
            <a:tabLst/>
            <a:defRPr sz="1600" kern="1200">
              <a:solidFill>
                <a:schemeClr val="tx1"/>
              </a:solidFill>
              <a:latin typeface="Arial" pitchFamily="34" charset="0"/>
              <a:ea typeface="+mn-ea"/>
              <a:cs typeface="Arial" pitchFamily="34" charset="0"/>
            </a:defRPr>
          </a:lvl2pPr>
          <a:lvl3pPr marL="1143000" indent="-228600" algn="l" defTabSz="914400" rtl="0" eaLnBrk="1" latinLnBrk="0" hangingPunct="1">
            <a:spcBef>
              <a:spcPct val="20000"/>
            </a:spcBef>
            <a:buFont typeface="Arial" pitchFamily="34" charset="0"/>
            <a:buChar char="•"/>
            <a:defRPr sz="2400" kern="1200">
              <a:solidFill>
                <a:schemeClr val="tx1"/>
              </a:solidFill>
              <a:latin typeface="Arial" pitchFamily="34" charset="0"/>
              <a:ea typeface="+mn-ea"/>
              <a:cs typeface="Arial" pitchFamily="34" charset="0"/>
            </a:defRPr>
          </a:lvl3pPr>
          <a:lvl4pPr marL="1600200" indent="-228600" algn="l" defTabSz="914400" rtl="0" eaLnBrk="1" latinLnBrk="0" hangingPunct="1">
            <a:spcBef>
              <a:spcPct val="20000"/>
            </a:spcBef>
            <a:buFont typeface="Arial" pitchFamily="34" charset="0"/>
            <a:buChar char="–"/>
            <a:defRPr sz="2000" kern="1200">
              <a:solidFill>
                <a:schemeClr val="tx1"/>
              </a:solidFill>
              <a:latin typeface="Arial" pitchFamily="34" charset="0"/>
              <a:ea typeface="+mn-ea"/>
              <a:cs typeface="Arial" pitchFamily="34" charset="0"/>
            </a:defRPr>
          </a:lvl4pPr>
          <a:lvl5pPr marL="2057400" indent="-228600" algn="l" defTabSz="914400" rtl="0" eaLnBrk="1" latinLnBrk="0" hangingPunct="1">
            <a:spcBef>
              <a:spcPct val="20000"/>
            </a:spcBef>
            <a:buFont typeface="Arial" pitchFamily="34" charset="0"/>
            <a:buChar char="»"/>
            <a:defRPr sz="2000" kern="1200">
              <a:solidFill>
                <a:schemeClr val="tx1"/>
              </a:solidFill>
              <a:latin typeface="Arial" pitchFamily="34" charset="0"/>
              <a:ea typeface="+mn-ea"/>
              <a:cs typeface="Arial" pitchFamily="34" charset="0"/>
            </a:defRPr>
          </a:lvl5pPr>
          <a:lvl6pPr marL="25146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itchFamily="34" charset="0"/>
            <a:buChar char="•"/>
            <a:defRPr sz="2000" kern="1200">
              <a:solidFill>
                <a:schemeClr val="tx1"/>
              </a:solidFill>
              <a:latin typeface="+mn-lt"/>
              <a:ea typeface="+mn-ea"/>
              <a:cs typeface="+mn-cs"/>
            </a:defRPr>
          </a:lvl9pPr>
        </a:lstStyle>
        <a:p>
          <a:pPr marL="0" indent="0" algn="just"/>
          <a:r>
            <a:rPr lang="en-IN" sz="1400"/>
            <a:t>The next expected dividend per share is Rs. 2. The dividend per share is expected to grow at the rate of 12 per cent. The market price per share is Rs. 50. Preference stock, redeemable after 10 years, is currently selling for Rs. 85 per share. Debentures, redeemable after 5 years, are selling for Rs. 90 per debenture. The tax rate for the company is 30 per cent. Calculate the weighted average cost of capital.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Q40"/>
  <sheetViews>
    <sheetView tabSelected="1" topLeftCell="A29" zoomScale="120" zoomScaleNormal="120" workbookViewId="0">
      <selection activeCell="J40" sqref="J40"/>
    </sheetView>
  </sheetViews>
  <sheetFormatPr defaultRowHeight="15" x14ac:dyDescent="0.25"/>
  <cols>
    <col min="1" max="1" width="29" customWidth="1"/>
    <col min="2" max="2" width="10.7109375" bestFit="1" customWidth="1"/>
    <col min="5" max="5" width="11.28515625" bestFit="1" customWidth="1"/>
    <col min="9" max="9" width="12" customWidth="1"/>
    <col min="10" max="10" width="7.5703125" bestFit="1" customWidth="1"/>
  </cols>
  <sheetData>
    <row r="2" spans="1:6" x14ac:dyDescent="0.25">
      <c r="A2" t="s">
        <v>0</v>
      </c>
      <c r="B2">
        <v>100</v>
      </c>
    </row>
    <row r="3" spans="1:6" x14ac:dyDescent="0.25">
      <c r="A3" t="s">
        <v>1</v>
      </c>
      <c r="B3">
        <v>92</v>
      </c>
    </row>
    <row r="4" spans="1:6" x14ac:dyDescent="0.25">
      <c r="A4" t="s">
        <v>2</v>
      </c>
      <c r="B4">
        <f>9%*B2</f>
        <v>9</v>
      </c>
    </row>
    <row r="5" spans="1:6" x14ac:dyDescent="0.25">
      <c r="A5" t="s">
        <v>3</v>
      </c>
      <c r="B5">
        <v>6</v>
      </c>
    </row>
    <row r="6" spans="1:6" x14ac:dyDescent="0.25">
      <c r="A6" t="s">
        <v>4</v>
      </c>
      <c r="B6" t="s">
        <v>5</v>
      </c>
    </row>
    <row r="7" spans="1:6" x14ac:dyDescent="0.25">
      <c r="C7" t="s">
        <v>10</v>
      </c>
      <c r="E7" t="s">
        <v>11</v>
      </c>
    </row>
    <row r="8" spans="1:6" x14ac:dyDescent="0.25">
      <c r="A8" t="s">
        <v>6</v>
      </c>
      <c r="B8" t="s">
        <v>7</v>
      </c>
      <c r="C8" t="s">
        <v>8</v>
      </c>
      <c r="D8" t="s">
        <v>9</v>
      </c>
      <c r="E8" t="s">
        <v>12</v>
      </c>
      <c r="F8" t="s">
        <v>9</v>
      </c>
    </row>
    <row r="9" spans="1:6" x14ac:dyDescent="0.25">
      <c r="A9">
        <v>1</v>
      </c>
      <c r="B9">
        <v>9</v>
      </c>
      <c r="C9">
        <f>1/(1+12%)^A9</f>
        <v>0.89285714285714279</v>
      </c>
      <c r="D9">
        <f>C9*B9</f>
        <v>8.0357142857142847</v>
      </c>
      <c r="E9">
        <f>1/(1+10%)^A9</f>
        <v>0.90909090909090906</v>
      </c>
      <c r="F9">
        <f>E9*B9</f>
        <v>8.1818181818181817</v>
      </c>
    </row>
    <row r="10" spans="1:6" x14ac:dyDescent="0.25">
      <c r="A10">
        <v>2</v>
      </c>
      <c r="B10">
        <v>9</v>
      </c>
      <c r="C10">
        <f t="shared" ref="C10:C14" si="0">1/(1+12%)^A10</f>
        <v>0.79719387755102034</v>
      </c>
      <c r="D10">
        <f t="shared" ref="D10:D14" si="1">C10*B10</f>
        <v>7.174744897959183</v>
      </c>
      <c r="E10">
        <f t="shared" ref="E10:E14" si="2">1/(1+10%)^A10</f>
        <v>0.82644628099173545</v>
      </c>
      <c r="F10">
        <f t="shared" ref="F10:F14" si="3">E10*B10</f>
        <v>7.438016528925619</v>
      </c>
    </row>
    <row r="11" spans="1:6" x14ac:dyDescent="0.25">
      <c r="A11">
        <v>3</v>
      </c>
      <c r="B11">
        <v>9</v>
      </c>
      <c r="C11">
        <f t="shared" si="0"/>
        <v>0.71178024781341087</v>
      </c>
      <c r="D11">
        <f t="shared" si="1"/>
        <v>6.4060222303206977</v>
      </c>
      <c r="E11">
        <f t="shared" si="2"/>
        <v>0.75131480090157754</v>
      </c>
      <c r="F11">
        <f t="shared" si="3"/>
        <v>6.7618332081141981</v>
      </c>
    </row>
    <row r="12" spans="1:6" x14ac:dyDescent="0.25">
      <c r="A12">
        <v>4</v>
      </c>
      <c r="B12">
        <v>9</v>
      </c>
      <c r="C12">
        <f t="shared" si="0"/>
        <v>0.63551807840483121</v>
      </c>
      <c r="D12">
        <f t="shared" si="1"/>
        <v>5.719662705643481</v>
      </c>
      <c r="E12">
        <f t="shared" si="2"/>
        <v>0.68301345536507052</v>
      </c>
      <c r="F12">
        <f t="shared" si="3"/>
        <v>6.147121098285635</v>
      </c>
    </row>
    <row r="13" spans="1:6" x14ac:dyDescent="0.25">
      <c r="A13">
        <v>5</v>
      </c>
      <c r="B13">
        <v>9</v>
      </c>
      <c r="C13">
        <f t="shared" si="0"/>
        <v>0.56742685571859919</v>
      </c>
      <c r="D13">
        <f t="shared" si="1"/>
        <v>5.1068417014673928</v>
      </c>
      <c r="E13">
        <f t="shared" si="2"/>
        <v>0.62092132305915493</v>
      </c>
      <c r="F13">
        <f t="shared" si="3"/>
        <v>5.588291907532394</v>
      </c>
    </row>
    <row r="14" spans="1:6" x14ac:dyDescent="0.25">
      <c r="A14">
        <v>6</v>
      </c>
      <c r="B14">
        <f>9+B2</f>
        <v>109</v>
      </c>
      <c r="C14">
        <f t="shared" si="0"/>
        <v>0.50663112117732068</v>
      </c>
      <c r="D14">
        <f t="shared" si="1"/>
        <v>55.222792208327952</v>
      </c>
      <c r="E14">
        <f t="shared" si="2"/>
        <v>0.56447393005377722</v>
      </c>
      <c r="F14">
        <f t="shared" si="3"/>
        <v>61.527658375861719</v>
      </c>
    </row>
    <row r="15" spans="1:6" x14ac:dyDescent="0.25">
      <c r="D15">
        <f>SUM(D9:D14)</f>
        <v>87.665778029433</v>
      </c>
      <c r="F15">
        <f>SUM(F9:F14)</f>
        <v>95.644739300537751</v>
      </c>
    </row>
    <row r="19" spans="1:17" x14ac:dyDescent="0.25">
      <c r="C19">
        <f>9/92</f>
        <v>9.7826086956521743E-2</v>
      </c>
    </row>
    <row r="20" spans="1:17" x14ac:dyDescent="0.25">
      <c r="C20">
        <f>0.8*1.08</f>
        <v>0.8640000000000001</v>
      </c>
    </row>
    <row r="22" spans="1:17" ht="15.75" thickBot="1" x14ac:dyDescent="0.3">
      <c r="B22" t="s">
        <v>43</v>
      </c>
      <c r="C22" t="s">
        <v>42</v>
      </c>
      <c r="N22" t="s">
        <v>37</v>
      </c>
      <c r="P22" t="s">
        <v>38</v>
      </c>
    </row>
    <row r="23" spans="1:17" ht="45.75" thickBot="1" x14ac:dyDescent="0.3">
      <c r="A23" s="1" t="s">
        <v>13</v>
      </c>
      <c r="B23" s="1" t="s">
        <v>14</v>
      </c>
      <c r="C23" s="1" t="s">
        <v>14</v>
      </c>
      <c r="J23" s="7" t="s">
        <v>27</v>
      </c>
      <c r="L23" s="7" t="s">
        <v>4</v>
      </c>
      <c r="N23" s="7" t="s">
        <v>33</v>
      </c>
      <c r="P23" t="s">
        <v>33</v>
      </c>
      <c r="Q23" s="6">
        <v>0.13</v>
      </c>
    </row>
    <row r="24" spans="1:17" ht="31.5" thickTop="1" thickBot="1" x14ac:dyDescent="0.3">
      <c r="A24" s="2" t="s">
        <v>15</v>
      </c>
      <c r="B24" s="2" t="s">
        <v>16</v>
      </c>
      <c r="C24">
        <f>20*50</f>
        <v>1000</v>
      </c>
      <c r="J24" t="s">
        <v>28</v>
      </c>
      <c r="K24">
        <v>2</v>
      </c>
      <c r="L24" t="s">
        <v>3</v>
      </c>
      <c r="M24">
        <v>10</v>
      </c>
      <c r="N24" t="s">
        <v>3</v>
      </c>
      <c r="O24">
        <v>5</v>
      </c>
    </row>
    <row r="25" spans="1:17" ht="30.75" thickBot="1" x14ac:dyDescent="0.3">
      <c r="A25" s="3" t="s">
        <v>17</v>
      </c>
      <c r="B25" s="3" t="s">
        <v>18</v>
      </c>
      <c r="C25">
        <f>0.5*85</f>
        <v>42.5</v>
      </c>
      <c r="J25" t="s">
        <v>29</v>
      </c>
      <c r="K25" s="6">
        <v>0.12</v>
      </c>
      <c r="L25" t="s">
        <v>1</v>
      </c>
      <c r="M25">
        <v>85</v>
      </c>
      <c r="N25" t="s">
        <v>1</v>
      </c>
      <c r="O25">
        <v>90</v>
      </c>
    </row>
    <row r="26" spans="1:17" ht="15.75" thickBot="1" x14ac:dyDescent="0.3">
      <c r="A26" s="4" t="s">
        <v>19</v>
      </c>
      <c r="B26" s="4" t="s">
        <v>20</v>
      </c>
      <c r="C26">
        <v>350</v>
      </c>
      <c r="J26" t="s">
        <v>1</v>
      </c>
      <c r="K26">
        <v>50</v>
      </c>
      <c r="L26" t="s">
        <v>32</v>
      </c>
      <c r="M26">
        <v>100</v>
      </c>
      <c r="N26" t="s">
        <v>32</v>
      </c>
      <c r="O26">
        <v>100</v>
      </c>
    </row>
    <row r="27" spans="1:17" ht="45.75" thickBot="1" x14ac:dyDescent="0.3">
      <c r="A27" s="3" t="s">
        <v>21</v>
      </c>
      <c r="B27" s="3" t="s">
        <v>22</v>
      </c>
      <c r="C27">
        <f>1.2*90</f>
        <v>108</v>
      </c>
      <c r="J27" s="8" t="s">
        <v>27</v>
      </c>
      <c r="K27" s="9">
        <f>(K24/K26)+K25</f>
        <v>0.16</v>
      </c>
      <c r="L27" t="s">
        <v>2</v>
      </c>
      <c r="M27">
        <f>12%*M26</f>
        <v>12</v>
      </c>
      <c r="N27" t="s">
        <v>34</v>
      </c>
      <c r="O27">
        <f>14%*O26</f>
        <v>14.000000000000002</v>
      </c>
    </row>
    <row r="28" spans="1:17" ht="15.75" thickBot="1" x14ac:dyDescent="0.3">
      <c r="A28" s="4" t="s">
        <v>23</v>
      </c>
      <c r="B28" s="4" t="s">
        <v>24</v>
      </c>
      <c r="C28">
        <v>80</v>
      </c>
      <c r="L28" s="8" t="s">
        <v>4</v>
      </c>
      <c r="M28" s="10">
        <f>(12+(M26-M25)/10)/(0.6*M25 + 0.4*M26)</f>
        <v>0.14835164835164835</v>
      </c>
      <c r="N28" s="8" t="s">
        <v>33</v>
      </c>
      <c r="O28" s="10">
        <f>(14+(O26-O25)/5)/(0.6*O25 + 0.4*O26)</f>
        <v>0.1702127659574468</v>
      </c>
    </row>
    <row r="29" spans="1:17" ht="15.75" thickBot="1" x14ac:dyDescent="0.3">
      <c r="A29" s="5" t="s">
        <v>25</v>
      </c>
      <c r="B29" s="5" t="s">
        <v>26</v>
      </c>
      <c r="C29">
        <f>SUM(C24:C28)</f>
        <v>1580.5</v>
      </c>
      <c r="N29" t="s">
        <v>35</v>
      </c>
      <c r="O29" s="6">
        <v>0.3</v>
      </c>
    </row>
    <row r="30" spans="1:17" x14ac:dyDescent="0.25">
      <c r="N30" s="8" t="s">
        <v>36</v>
      </c>
      <c r="O30" s="10">
        <f>O28*(1-O29)</f>
        <v>0.11914893617021276</v>
      </c>
      <c r="P30" t="s">
        <v>39</v>
      </c>
      <c r="Q30" s="10">
        <f>Q23*(1-O29)</f>
        <v>9.0999999999999998E-2</v>
      </c>
    </row>
    <row r="33" spans="1:10" x14ac:dyDescent="0.25">
      <c r="B33" t="s">
        <v>31</v>
      </c>
      <c r="G33" t="s">
        <v>42</v>
      </c>
    </row>
    <row r="34" spans="1:10" ht="45" x14ac:dyDescent="0.25">
      <c r="A34" s="11" t="s">
        <v>13</v>
      </c>
      <c r="B34" s="11" t="s">
        <v>14</v>
      </c>
      <c r="C34" s="11" t="s">
        <v>30</v>
      </c>
      <c r="D34" s="11" t="s">
        <v>41</v>
      </c>
      <c r="E34" s="11" t="s">
        <v>40</v>
      </c>
      <c r="G34" s="11" t="s">
        <v>14</v>
      </c>
      <c r="H34" s="11" t="s">
        <v>30</v>
      </c>
      <c r="I34" s="11" t="s">
        <v>41</v>
      </c>
      <c r="J34" s="11" t="s">
        <v>40</v>
      </c>
    </row>
    <row r="35" spans="1:10" ht="30" x14ac:dyDescent="0.25">
      <c r="A35" s="12" t="s">
        <v>15</v>
      </c>
      <c r="B35" s="13">
        <v>200</v>
      </c>
      <c r="C35" s="14">
        <f>K27</f>
        <v>0.16</v>
      </c>
      <c r="D35" s="15">
        <f>B35/$B$40</f>
        <v>0.25</v>
      </c>
      <c r="E35" s="14">
        <f>D35*C35</f>
        <v>0.04</v>
      </c>
      <c r="G35" s="13">
        <f>C24</f>
        <v>1000</v>
      </c>
      <c r="H35" s="14">
        <f>C35</f>
        <v>0.16</v>
      </c>
      <c r="I35" s="15">
        <f>G35/$G$40</f>
        <v>0.63271116735210375</v>
      </c>
      <c r="J35" s="14">
        <f>I35*H35</f>
        <v>0.1012337867763366</v>
      </c>
    </row>
    <row r="36" spans="1:10" ht="30" x14ac:dyDescent="0.25">
      <c r="A36" s="16" t="s">
        <v>17</v>
      </c>
      <c r="B36" s="13">
        <v>50</v>
      </c>
      <c r="C36" s="14">
        <f>M28</f>
        <v>0.14835164835164835</v>
      </c>
      <c r="D36" s="15">
        <f>B36/$B$40</f>
        <v>6.25E-2</v>
      </c>
      <c r="E36" s="14">
        <f t="shared" ref="E36:E39" si="4">D36*C36</f>
        <v>9.271978021978022E-3</v>
      </c>
      <c r="G36" s="13">
        <f t="shared" ref="G36:G39" si="5">C25</f>
        <v>42.5</v>
      </c>
      <c r="H36" s="14">
        <f t="shared" ref="H36:H39" si="6">C36</f>
        <v>0.14835164835164835</v>
      </c>
      <c r="I36" s="15">
        <f t="shared" ref="I36:I39" si="7">G36/$G$40</f>
        <v>2.689022461246441E-2</v>
      </c>
      <c r="J36" s="14">
        <f t="shared" ref="J36:J39" si="8">I36*H36</f>
        <v>3.9892091458051601E-3</v>
      </c>
    </row>
    <row r="37" spans="1:10" x14ac:dyDescent="0.25">
      <c r="A37" s="12" t="s">
        <v>19</v>
      </c>
      <c r="B37" s="13">
        <v>350</v>
      </c>
      <c r="C37" s="14">
        <f>K27</f>
        <v>0.16</v>
      </c>
      <c r="D37" s="15">
        <f>B37/$B$40</f>
        <v>0.4375</v>
      </c>
      <c r="E37" s="14">
        <f t="shared" si="4"/>
        <v>7.0000000000000007E-2</v>
      </c>
      <c r="G37" s="13">
        <f t="shared" si="5"/>
        <v>350</v>
      </c>
      <c r="H37" s="14">
        <f t="shared" si="6"/>
        <v>0.16</v>
      </c>
      <c r="I37" s="15">
        <f t="shared" si="7"/>
        <v>0.22144890857323632</v>
      </c>
      <c r="J37" s="14">
        <f t="shared" si="8"/>
        <v>3.5431825371717809E-2</v>
      </c>
    </row>
    <row r="38" spans="1:10" ht="45" x14ac:dyDescent="0.25">
      <c r="A38" s="16" t="s">
        <v>21</v>
      </c>
      <c r="B38" s="13">
        <v>120</v>
      </c>
      <c r="C38" s="14">
        <f>O30</f>
        <v>0.11914893617021276</v>
      </c>
      <c r="D38" s="15">
        <f>B38/$B$40</f>
        <v>0.15</v>
      </c>
      <c r="E38" s="14">
        <f t="shared" si="4"/>
        <v>1.7872340425531912E-2</v>
      </c>
      <c r="G38" s="13">
        <f t="shared" si="5"/>
        <v>108</v>
      </c>
      <c r="H38" s="14">
        <f t="shared" si="6"/>
        <v>0.11914893617021276</v>
      </c>
      <c r="I38" s="15">
        <f t="shared" si="7"/>
        <v>6.8332806074027211E-2</v>
      </c>
      <c r="J38" s="14">
        <f t="shared" si="8"/>
        <v>8.1417811492457953E-3</v>
      </c>
    </row>
    <row r="39" spans="1:10" x14ac:dyDescent="0.25">
      <c r="A39" s="12" t="s">
        <v>23</v>
      </c>
      <c r="B39" s="13">
        <v>80</v>
      </c>
      <c r="C39" s="14">
        <f>Q30</f>
        <v>9.0999999999999998E-2</v>
      </c>
      <c r="D39" s="15">
        <f>B39/$B$40</f>
        <v>0.1</v>
      </c>
      <c r="E39" s="14">
        <f t="shared" si="4"/>
        <v>9.1000000000000004E-3</v>
      </c>
      <c r="G39" s="13">
        <f t="shared" si="5"/>
        <v>80</v>
      </c>
      <c r="H39" s="14">
        <f t="shared" si="6"/>
        <v>9.0999999999999998E-2</v>
      </c>
      <c r="I39" s="15">
        <f t="shared" si="7"/>
        <v>5.0616893388168299E-2</v>
      </c>
      <c r="J39" s="14">
        <f t="shared" si="8"/>
        <v>4.6061372983233154E-3</v>
      </c>
    </row>
    <row r="40" spans="1:10" x14ac:dyDescent="0.25">
      <c r="A40" s="17" t="s">
        <v>25</v>
      </c>
      <c r="B40" s="18">
        <f>SUM(B35:B39)</f>
        <v>800</v>
      </c>
      <c r="C40" s="13"/>
      <c r="D40" s="15">
        <f>SUM(D35:D39)</f>
        <v>1</v>
      </c>
      <c r="E40" s="19">
        <f>SUM(E35:E39)</f>
        <v>0.14624431844750993</v>
      </c>
      <c r="G40" s="18">
        <f>SUM(G35:G39)</f>
        <v>1580.5</v>
      </c>
      <c r="H40" s="13"/>
      <c r="I40" s="13"/>
      <c r="J40" s="19">
        <f>SUM(J35:J39)</f>
        <v>0.15340273974142871</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A75E3588147654284604D4E812B6D70" ma:contentTypeVersion="28" ma:contentTypeDescription="Create a new document." ma:contentTypeScope="" ma:versionID="9678284f510d3f879821f0ec64a814ee">
  <xsd:schema xmlns:xsd="http://www.w3.org/2001/XMLSchema" xmlns:xs="http://www.w3.org/2001/XMLSchema" xmlns:p="http://schemas.microsoft.com/office/2006/metadata/properties" xmlns:ns2="0a2451e9-b2b7-43a3-aada-52e3e0c35c47" targetNamespace="http://schemas.microsoft.com/office/2006/metadata/properties" ma:root="true" ma:fieldsID="f8bd066ab4d7366b8e4c7fc5b69a15a9" ns2:_="">
    <xsd:import namespace="0a2451e9-b2b7-43a3-aada-52e3e0c35c47"/>
    <xsd:element name="properties">
      <xsd:complexType>
        <xsd:sequence>
          <xsd:element name="documentManagement">
            <xsd:complexType>
              <xsd:all>
                <xsd:element ref="ns2:NotebookType" minOccurs="0"/>
                <xsd:element ref="ns2:FolderType" minOccurs="0"/>
                <xsd:element ref="ns2:CultureName" minOccurs="0"/>
                <xsd:element ref="ns2:AppVersion" minOccurs="0"/>
                <xsd:element ref="ns2:TeamsChannelId" minOccurs="0"/>
                <xsd:element ref="ns2:Owner" minOccurs="0"/>
                <xsd:element ref="ns2:Math_Settings" minOccurs="0"/>
                <xsd:element ref="ns2:DefaultSectionNames" minOccurs="0"/>
                <xsd:element ref="ns2:Templates" minOccurs="0"/>
                <xsd:element ref="ns2:Teachers" minOccurs="0"/>
                <xsd:element ref="ns2:Students" minOccurs="0"/>
                <xsd:element ref="ns2:Student_Groups" minOccurs="0"/>
                <xsd:element ref="ns2:Distribution_Groups" minOccurs="0"/>
                <xsd:element ref="ns2:LMS_Mappings" minOccurs="0"/>
                <xsd:element ref="ns2:Invited_Teachers" minOccurs="0"/>
                <xsd:element ref="ns2:Invited_Students" minOccurs="0"/>
                <xsd:element ref="ns2:Self_Registration_Enabled" minOccurs="0"/>
                <xsd:element ref="ns2:Has_Teacher_Only_SectionGroup" minOccurs="0"/>
                <xsd:element ref="ns2:Is_Collaboration_Space_Locked" minOccurs="0"/>
                <xsd:element ref="ns2:IsNotebookLocked" minOccurs="0"/>
                <xsd:element ref="ns2:Teams_Channel_Section_Location" minOccurs="0"/>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2451e9-b2b7-43a3-aada-52e3e0c35c47" elementFormDefault="qualified">
    <xsd:import namespace="http://schemas.microsoft.com/office/2006/documentManagement/types"/>
    <xsd:import namespace="http://schemas.microsoft.com/office/infopath/2007/PartnerControls"/>
    <xsd:element name="NotebookType" ma:index="8" nillable="true" ma:displayName="Notebook Type" ma:internalName="NotebookType">
      <xsd:simpleType>
        <xsd:restriction base="dms:Text"/>
      </xsd:simpleType>
    </xsd:element>
    <xsd:element name="FolderType" ma:index="9" nillable="true" ma:displayName="Folder Type" ma:internalName="FolderType">
      <xsd:simpleType>
        <xsd:restriction base="dms:Text"/>
      </xsd:simpleType>
    </xsd:element>
    <xsd:element name="CultureName" ma:index="10" nillable="true" ma:displayName="Culture Name" ma:internalName="CultureName">
      <xsd:simpleType>
        <xsd:restriction base="dms:Text"/>
      </xsd:simpleType>
    </xsd:element>
    <xsd:element name="AppVersion" ma:index="11" nillable="true" ma:displayName="App Version" ma:internalName="AppVersion">
      <xsd:simpleType>
        <xsd:restriction base="dms:Text"/>
      </xsd:simpleType>
    </xsd:element>
    <xsd:element name="TeamsChannelId" ma:index="12" nillable="true" ma:displayName="Teams Channel Id" ma:internalName="TeamsChannelId">
      <xsd:simpleType>
        <xsd:restriction base="dms:Text"/>
      </xsd:simpleType>
    </xsd:element>
    <xsd:element name="Owner" ma:index="13" nillable="true" ma:displayName="Owner"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ath_Settings" ma:index="14" nillable="true" ma:displayName="Math Settings" ma:internalName="Math_Settings">
      <xsd:simpleType>
        <xsd:restriction base="dms:Text"/>
      </xsd:simpleType>
    </xsd:element>
    <xsd:element name="DefaultSectionNames" ma:index="15" nillable="true" ma:displayName="Default Section Names" ma:internalName="DefaultSectionNames">
      <xsd:simpleType>
        <xsd:restriction base="dms:Note">
          <xsd:maxLength value="255"/>
        </xsd:restriction>
      </xsd:simpleType>
    </xsd:element>
    <xsd:element name="Templates" ma:index="16" nillable="true" ma:displayName="Templates" ma:internalName="Templates">
      <xsd:simpleType>
        <xsd:restriction base="dms:Note">
          <xsd:maxLength value="255"/>
        </xsd:restriction>
      </xsd:simpleType>
    </xsd:element>
    <xsd:element name="Teachers" ma:index="17" nillable="true" ma:displayName="Teachers" ma:internalName="Teach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s" ma:index="18" nillable="true" ma:displayName="Students" ma:internalName="Student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_Groups" ma:index="19" nillable="true" ma:displayName="Student Groups" ma:internalName="Student_Group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istribution_Groups" ma:index="20" nillable="true" ma:displayName="Distribution Groups" ma:internalName="Distribution_Groups">
      <xsd:simpleType>
        <xsd:restriction base="dms:Note">
          <xsd:maxLength value="255"/>
        </xsd:restriction>
      </xsd:simpleType>
    </xsd:element>
    <xsd:element name="LMS_Mappings" ma:index="21" nillable="true" ma:displayName="LMS Mappings" ma:internalName="LMS_Mappings">
      <xsd:simpleType>
        <xsd:restriction base="dms:Note">
          <xsd:maxLength value="255"/>
        </xsd:restriction>
      </xsd:simpleType>
    </xsd:element>
    <xsd:element name="Invited_Teachers" ma:index="22" nillable="true" ma:displayName="Invited Teachers" ma:internalName="Invited_Teachers">
      <xsd:simpleType>
        <xsd:restriction base="dms:Note">
          <xsd:maxLength value="255"/>
        </xsd:restriction>
      </xsd:simpleType>
    </xsd:element>
    <xsd:element name="Invited_Students" ma:index="23" nillable="true" ma:displayName="Invited Students" ma:internalName="Invited_Students">
      <xsd:simpleType>
        <xsd:restriction base="dms:Note">
          <xsd:maxLength value="255"/>
        </xsd:restriction>
      </xsd:simpleType>
    </xsd:element>
    <xsd:element name="Self_Registration_Enabled" ma:index="24" nillable="true" ma:displayName="Self Registration Enabled" ma:internalName="Self_Registration_Enabled">
      <xsd:simpleType>
        <xsd:restriction base="dms:Boolean"/>
      </xsd:simpleType>
    </xsd:element>
    <xsd:element name="Has_Teacher_Only_SectionGroup" ma:index="25" nillable="true" ma:displayName="Has Teacher Only SectionGroup" ma:internalName="Has_Teacher_Only_SectionGroup">
      <xsd:simpleType>
        <xsd:restriction base="dms:Boolean"/>
      </xsd:simpleType>
    </xsd:element>
    <xsd:element name="Is_Collaboration_Space_Locked" ma:index="26" nillable="true" ma:displayName="Is Collaboration Space Locked" ma:internalName="Is_Collaboration_Space_Locked">
      <xsd:simpleType>
        <xsd:restriction base="dms:Boolean"/>
      </xsd:simpleType>
    </xsd:element>
    <xsd:element name="IsNotebookLocked" ma:index="27" nillable="true" ma:displayName="Is Notebook Locked" ma:internalName="IsNotebookLocked">
      <xsd:simpleType>
        <xsd:restriction base="dms:Boolean"/>
      </xsd:simpleType>
    </xsd:element>
    <xsd:element name="Teams_Channel_Section_Location" ma:index="28" nillable="true" ma:displayName="Teams Channel Section Location" ma:internalName="Teams_Channel_Section_Location">
      <xsd:simpleType>
        <xsd:restriction base="dms:Text"/>
      </xsd:simpleType>
    </xsd:element>
    <xsd:element name="MediaServiceMetadata" ma:index="29" nillable="true" ma:displayName="MediaServiceMetadata" ma:hidden="true" ma:internalName="MediaServiceMetadata" ma:readOnly="true">
      <xsd:simpleType>
        <xsd:restriction base="dms:Note"/>
      </xsd:simpleType>
    </xsd:element>
    <xsd:element name="MediaServiceFastMetadata" ma:index="30" nillable="true" ma:displayName="MediaServiceFastMetadata" ma:hidden="true" ma:internalName="MediaServiceFastMetadata" ma:readOnly="true">
      <xsd:simpleType>
        <xsd:restriction base="dms:Note"/>
      </xsd:simpleType>
    </xsd:element>
    <xsd:element name="MediaServiceSearchProperties" ma:index="31" nillable="true" ma:displayName="MediaServiceSearchProperties" ma:hidden="true" ma:internalName="MediaServiceSearchProperties" ma:readOnly="true">
      <xsd:simpleType>
        <xsd:restriction base="dms:Note"/>
      </xsd:simpleType>
    </xsd:element>
    <xsd:element name="MediaServiceDateTaken" ma:index="32" nillable="true" ma:displayName="MediaServiceDateTaken" ma:hidden="true" ma:indexed="true" ma:internalName="MediaServiceDateTaken" ma:readOnly="true">
      <xsd:simpleType>
        <xsd:restriction base="dms:Text"/>
      </xsd:simpleType>
    </xsd:element>
    <xsd:element name="MediaServiceGenerationTime" ma:index="33" nillable="true" ma:displayName="MediaServiceGenerationTime" ma:hidden="true" ma:internalName="MediaServiceGenerationTime" ma:readOnly="true">
      <xsd:simpleType>
        <xsd:restriction base="dms:Text"/>
      </xsd:simpleType>
    </xsd:element>
    <xsd:element name="MediaServiceEventHashCode" ma:index="34" nillable="true" ma:displayName="MediaServiceEventHashCode" ma:hidden="true" ma:internalName="MediaServiceEventHashCode" ma:readOnly="true">
      <xsd:simpleType>
        <xsd:restriction base="dms:Text"/>
      </xsd:simpleType>
    </xsd:element>
    <xsd:element name="MediaLengthInSeconds" ma:index="3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FolderType xmlns="0a2451e9-b2b7-43a3-aada-52e3e0c35c47" xsi:nil="true"/>
    <CultureName xmlns="0a2451e9-b2b7-43a3-aada-52e3e0c35c47" xsi:nil="true"/>
    <LMS_Mappings xmlns="0a2451e9-b2b7-43a3-aada-52e3e0c35c47" xsi:nil="true"/>
    <Invited_Students xmlns="0a2451e9-b2b7-43a3-aada-52e3e0c35c47" xsi:nil="true"/>
    <IsNotebookLocked xmlns="0a2451e9-b2b7-43a3-aada-52e3e0c35c47" xsi:nil="true"/>
    <Math_Settings xmlns="0a2451e9-b2b7-43a3-aada-52e3e0c35c47" xsi:nil="true"/>
    <Self_Registration_Enabled xmlns="0a2451e9-b2b7-43a3-aada-52e3e0c35c47" xsi:nil="true"/>
    <Teachers xmlns="0a2451e9-b2b7-43a3-aada-52e3e0c35c47">
      <UserInfo>
        <DisplayName/>
        <AccountId xsi:nil="true"/>
        <AccountType/>
      </UserInfo>
    </Teachers>
    <Students xmlns="0a2451e9-b2b7-43a3-aada-52e3e0c35c47">
      <UserInfo>
        <DisplayName/>
        <AccountId xsi:nil="true"/>
        <AccountType/>
      </UserInfo>
    </Students>
    <Student_Groups xmlns="0a2451e9-b2b7-43a3-aada-52e3e0c35c47">
      <UserInfo>
        <DisplayName/>
        <AccountId xsi:nil="true"/>
        <AccountType/>
      </UserInfo>
    </Student_Groups>
    <Templates xmlns="0a2451e9-b2b7-43a3-aada-52e3e0c35c47" xsi:nil="true"/>
    <Has_Teacher_Only_SectionGroup xmlns="0a2451e9-b2b7-43a3-aada-52e3e0c35c47" xsi:nil="true"/>
    <NotebookType xmlns="0a2451e9-b2b7-43a3-aada-52e3e0c35c47" xsi:nil="true"/>
    <Distribution_Groups xmlns="0a2451e9-b2b7-43a3-aada-52e3e0c35c47" xsi:nil="true"/>
    <AppVersion xmlns="0a2451e9-b2b7-43a3-aada-52e3e0c35c47" xsi:nil="true"/>
    <Invited_Teachers xmlns="0a2451e9-b2b7-43a3-aada-52e3e0c35c47" xsi:nil="true"/>
    <Teams_Channel_Section_Location xmlns="0a2451e9-b2b7-43a3-aada-52e3e0c35c47" xsi:nil="true"/>
    <Owner xmlns="0a2451e9-b2b7-43a3-aada-52e3e0c35c47">
      <UserInfo>
        <DisplayName/>
        <AccountId xsi:nil="true"/>
        <AccountType/>
      </UserInfo>
    </Owner>
    <DefaultSectionNames xmlns="0a2451e9-b2b7-43a3-aada-52e3e0c35c47" xsi:nil="true"/>
    <TeamsChannelId xmlns="0a2451e9-b2b7-43a3-aada-52e3e0c35c47" xsi:nil="true"/>
    <Is_Collaboration_Space_Locked xmlns="0a2451e9-b2b7-43a3-aada-52e3e0c35c47" xsi:nil="true"/>
  </documentManagement>
</p:properties>
</file>

<file path=customXml/itemProps1.xml><?xml version="1.0" encoding="utf-8"?>
<ds:datastoreItem xmlns:ds="http://schemas.openxmlformats.org/officeDocument/2006/customXml" ds:itemID="{1887DBBE-8872-48C3-80E5-9BA4F426C9EC}"/>
</file>

<file path=customXml/itemProps2.xml><?xml version="1.0" encoding="utf-8"?>
<ds:datastoreItem xmlns:ds="http://schemas.openxmlformats.org/officeDocument/2006/customXml" ds:itemID="{DEA068CF-4FC4-4589-A5A9-2E73EB078393}"/>
</file>

<file path=customXml/itemProps3.xml><?xml version="1.0" encoding="utf-8"?>
<ds:datastoreItem xmlns:ds="http://schemas.openxmlformats.org/officeDocument/2006/customXml" ds:itemID="{20BE59D7-1015-4891-8D2A-25244847422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2025-12-12T14:58:14Z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0x0101000A75E3588147654284604D4E812B6D70</vt:lpwstr>
  </property>
</Properties>
</file>