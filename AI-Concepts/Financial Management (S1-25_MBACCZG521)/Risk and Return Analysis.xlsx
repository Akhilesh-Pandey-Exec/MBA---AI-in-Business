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Daily Retun &amp; Risk" sheetId="1" r:id="rId1"/>
    <sheet name="Monthly Return Vs. Risk" sheetId="2" r:id="rId2"/>
    <sheet name="CAPM" sheetId="3" r:id="rId3"/>
    <sheet name="Portfolio Theory" sheetId="4" r:id="rId4"/>
    <sheet name="Degree of Leverag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5" l="1"/>
  <c r="E15" i="5"/>
  <c r="E13" i="5"/>
  <c r="E5" i="5"/>
  <c r="E4" i="5"/>
  <c r="E11" i="5"/>
  <c r="C17" i="5"/>
  <c r="C15" i="5"/>
  <c r="B11" i="5"/>
  <c r="C13" i="5"/>
  <c r="B5" i="5"/>
  <c r="B4" i="5"/>
  <c r="B17" i="4"/>
  <c r="B16" i="4"/>
  <c r="B4" i="4"/>
  <c r="B15" i="4"/>
  <c r="B12" i="4"/>
  <c r="B11" i="4"/>
  <c r="B10" i="4"/>
  <c r="B9" i="4"/>
  <c r="R257" i="1"/>
  <c r="D6" i="4"/>
  <c r="C6" i="4"/>
  <c r="B6" i="4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B7" i="4"/>
  <c r="C25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202" i="1"/>
  <c r="L210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K203" i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K211" i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K219" i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K227" i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K235" i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K243" i="1"/>
  <c r="K244" i="1"/>
  <c r="L244" i="1" s="1"/>
  <c r="K245" i="1"/>
  <c r="L245" i="1" s="1"/>
  <c r="K246" i="1"/>
  <c r="L246" i="1" s="1"/>
  <c r="K247" i="1"/>
  <c r="L247" i="1" s="1"/>
  <c r="K248" i="1"/>
  <c r="L248" i="1" s="1"/>
  <c r="K2" i="1"/>
  <c r="R255" i="1" l="1"/>
  <c r="R256" i="1" s="1"/>
  <c r="Q254" i="1"/>
  <c r="L242" i="1"/>
  <c r="L234" i="1"/>
  <c r="L226" i="1"/>
  <c r="L218" i="1"/>
  <c r="L243" i="1"/>
  <c r="L235" i="1"/>
  <c r="L227" i="1"/>
  <c r="L219" i="1"/>
  <c r="L211" i="1"/>
  <c r="L203" i="1"/>
  <c r="L195" i="1"/>
  <c r="L254" i="1" s="1"/>
  <c r="F250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" i="3"/>
  <c r="M255" i="1" l="1"/>
  <c r="B5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" i="3"/>
  <c r="D14" i="3"/>
  <c r="D22" i="3"/>
  <c r="D33" i="3"/>
  <c r="D41" i="3"/>
  <c r="D56" i="3"/>
  <c r="D64" i="3"/>
  <c r="D78" i="3"/>
  <c r="D86" i="3"/>
  <c r="D97" i="3"/>
  <c r="D105" i="3"/>
  <c r="D120" i="3"/>
  <c r="D128" i="3"/>
  <c r="D142" i="3"/>
  <c r="D150" i="3"/>
  <c r="D161" i="3"/>
  <c r="D169" i="3"/>
  <c r="D184" i="3"/>
  <c r="D192" i="3"/>
  <c r="D206" i="3"/>
  <c r="D214" i="3"/>
  <c r="D225" i="3"/>
  <c r="D233" i="3"/>
  <c r="D248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" i="3"/>
  <c r="G34" i="1"/>
  <c r="G42" i="1"/>
  <c r="G57" i="1"/>
  <c r="G65" i="1"/>
  <c r="G98" i="1"/>
  <c r="G106" i="1"/>
  <c r="G121" i="1"/>
  <c r="G129" i="1"/>
  <c r="G162" i="1"/>
  <c r="G170" i="1"/>
  <c r="G185" i="1"/>
  <c r="G19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" i="1"/>
  <c r="E13" i="1"/>
  <c r="E21" i="1"/>
  <c r="E32" i="1"/>
  <c r="E40" i="1"/>
  <c r="E77" i="1"/>
  <c r="E85" i="1"/>
  <c r="E96" i="1"/>
  <c r="E104" i="1"/>
  <c r="E141" i="1"/>
  <c r="E149" i="1"/>
  <c r="E160" i="1"/>
  <c r="E168" i="1"/>
  <c r="E181" i="1"/>
  <c r="E184" i="1"/>
  <c r="E189" i="1"/>
  <c r="E192" i="1"/>
  <c r="E235" i="1"/>
  <c r="E2" i="1"/>
  <c r="D3" i="1"/>
  <c r="D4" i="1"/>
  <c r="D5" i="1"/>
  <c r="D6" i="1"/>
  <c r="D7" i="1"/>
  <c r="D7" i="3" s="1"/>
  <c r="D8" i="1"/>
  <c r="G8" i="1" s="1"/>
  <c r="D9" i="1"/>
  <c r="E9" i="1" s="1"/>
  <c r="D10" i="1"/>
  <c r="G10" i="1" s="1"/>
  <c r="D11" i="1"/>
  <c r="D12" i="1"/>
  <c r="D13" i="1"/>
  <c r="D14" i="1"/>
  <c r="D15" i="1"/>
  <c r="D15" i="3" s="1"/>
  <c r="D16" i="1"/>
  <c r="G16" i="1" s="1"/>
  <c r="D17" i="1"/>
  <c r="E17" i="1" s="1"/>
  <c r="D18" i="1"/>
  <c r="G18" i="1" s="1"/>
  <c r="D19" i="1"/>
  <c r="D20" i="1"/>
  <c r="D21" i="1"/>
  <c r="D22" i="1"/>
  <c r="D23" i="1"/>
  <c r="D23" i="3" s="1"/>
  <c r="D24" i="1"/>
  <c r="G24" i="1" s="1"/>
  <c r="D25" i="1"/>
  <c r="E25" i="1" s="1"/>
  <c r="D26" i="1"/>
  <c r="D27" i="1"/>
  <c r="D28" i="1"/>
  <c r="D29" i="1"/>
  <c r="D30" i="1"/>
  <c r="D31" i="1"/>
  <c r="D31" i="3" s="1"/>
  <c r="D32" i="1"/>
  <c r="G32" i="1" s="1"/>
  <c r="D33" i="1"/>
  <c r="E33" i="1" s="1"/>
  <c r="D34" i="1"/>
  <c r="D35" i="1"/>
  <c r="D36" i="1"/>
  <c r="D37" i="1"/>
  <c r="D38" i="1"/>
  <c r="D39" i="1"/>
  <c r="D39" i="3" s="1"/>
  <c r="D40" i="1"/>
  <c r="G40" i="1" s="1"/>
  <c r="D41" i="1"/>
  <c r="E41" i="1" s="1"/>
  <c r="D42" i="1"/>
  <c r="D43" i="1"/>
  <c r="D44" i="1"/>
  <c r="D45" i="1"/>
  <c r="D46" i="1"/>
  <c r="D47" i="1"/>
  <c r="D47" i="3" s="1"/>
  <c r="D48" i="1"/>
  <c r="G48" i="1" s="1"/>
  <c r="D49" i="1"/>
  <c r="E49" i="1" s="1"/>
  <c r="D50" i="1"/>
  <c r="D51" i="1"/>
  <c r="D52" i="1"/>
  <c r="D53" i="1"/>
  <c r="D54" i="1"/>
  <c r="D55" i="1"/>
  <c r="D55" i="3" s="1"/>
  <c r="D56" i="1"/>
  <c r="G56" i="1" s="1"/>
  <c r="D57" i="1"/>
  <c r="E57" i="1" s="1"/>
  <c r="D58" i="1"/>
  <c r="G58" i="1" s="1"/>
  <c r="D59" i="1"/>
  <c r="D60" i="1"/>
  <c r="D61" i="1"/>
  <c r="E61" i="1" s="1"/>
  <c r="D62" i="1"/>
  <c r="D63" i="1"/>
  <c r="D63" i="3" s="1"/>
  <c r="D64" i="1"/>
  <c r="G64" i="1" s="1"/>
  <c r="D65" i="1"/>
  <c r="E65" i="1" s="1"/>
  <c r="D66" i="1"/>
  <c r="D67" i="1"/>
  <c r="D68" i="1"/>
  <c r="D69" i="1"/>
  <c r="D70" i="1"/>
  <c r="D71" i="1"/>
  <c r="D71" i="3" s="1"/>
  <c r="D72" i="1"/>
  <c r="G72" i="1" s="1"/>
  <c r="D73" i="1"/>
  <c r="E73" i="1" s="1"/>
  <c r="D74" i="1"/>
  <c r="G74" i="1" s="1"/>
  <c r="D75" i="1"/>
  <c r="D76" i="1"/>
  <c r="D77" i="1"/>
  <c r="D78" i="1"/>
  <c r="D79" i="1"/>
  <c r="D79" i="3" s="1"/>
  <c r="D80" i="1"/>
  <c r="G80" i="1" s="1"/>
  <c r="D81" i="1"/>
  <c r="E81" i="1" s="1"/>
  <c r="D82" i="1"/>
  <c r="G82" i="1" s="1"/>
  <c r="D83" i="1"/>
  <c r="D84" i="1"/>
  <c r="D85" i="1"/>
  <c r="D86" i="1"/>
  <c r="D87" i="1"/>
  <c r="D87" i="3" s="1"/>
  <c r="D88" i="1"/>
  <c r="G88" i="1" s="1"/>
  <c r="D89" i="1"/>
  <c r="E89" i="1" s="1"/>
  <c r="D90" i="1"/>
  <c r="D91" i="1"/>
  <c r="D92" i="1"/>
  <c r="D93" i="1"/>
  <c r="D94" i="1"/>
  <c r="D95" i="1"/>
  <c r="D95" i="3" s="1"/>
  <c r="D96" i="1"/>
  <c r="G96" i="1" s="1"/>
  <c r="D97" i="1"/>
  <c r="E97" i="1" s="1"/>
  <c r="D98" i="1"/>
  <c r="D99" i="1"/>
  <c r="D100" i="1"/>
  <c r="D101" i="1"/>
  <c r="D102" i="1"/>
  <c r="D103" i="1"/>
  <c r="D103" i="3" s="1"/>
  <c r="D104" i="1"/>
  <c r="G104" i="1" s="1"/>
  <c r="D105" i="1"/>
  <c r="E105" i="1" s="1"/>
  <c r="D106" i="1"/>
  <c r="D107" i="1"/>
  <c r="D108" i="1"/>
  <c r="D109" i="1"/>
  <c r="D110" i="1"/>
  <c r="D111" i="1"/>
  <c r="D111" i="3" s="1"/>
  <c r="D112" i="1"/>
  <c r="G112" i="1" s="1"/>
  <c r="D113" i="1"/>
  <c r="E113" i="1" s="1"/>
  <c r="D114" i="1"/>
  <c r="D115" i="1"/>
  <c r="D116" i="1"/>
  <c r="D117" i="1"/>
  <c r="D118" i="1"/>
  <c r="D119" i="1"/>
  <c r="D119" i="3" s="1"/>
  <c r="D120" i="1"/>
  <c r="G120" i="1" s="1"/>
  <c r="D121" i="1"/>
  <c r="E121" i="1" s="1"/>
  <c r="D122" i="1"/>
  <c r="G122" i="1" s="1"/>
  <c r="D123" i="1"/>
  <c r="D124" i="1"/>
  <c r="D125" i="1"/>
  <c r="E125" i="1" s="1"/>
  <c r="D126" i="1"/>
  <c r="D127" i="1"/>
  <c r="D127" i="3" s="1"/>
  <c r="D128" i="1"/>
  <c r="G128" i="1" s="1"/>
  <c r="D129" i="1"/>
  <c r="E129" i="1" s="1"/>
  <c r="D130" i="1"/>
  <c r="D131" i="1"/>
  <c r="D132" i="1"/>
  <c r="D133" i="1"/>
  <c r="D134" i="1"/>
  <c r="D135" i="1"/>
  <c r="D135" i="3" s="1"/>
  <c r="D136" i="1"/>
  <c r="G136" i="1" s="1"/>
  <c r="D137" i="1"/>
  <c r="E137" i="1" s="1"/>
  <c r="D138" i="1"/>
  <c r="G138" i="1" s="1"/>
  <c r="D139" i="1"/>
  <c r="D140" i="1"/>
  <c r="D141" i="1"/>
  <c r="D142" i="1"/>
  <c r="D143" i="1"/>
  <c r="D143" i="3" s="1"/>
  <c r="D144" i="1"/>
  <c r="G144" i="1" s="1"/>
  <c r="D145" i="1"/>
  <c r="E145" i="1" s="1"/>
  <c r="D146" i="1"/>
  <c r="G146" i="1" s="1"/>
  <c r="D147" i="1"/>
  <c r="D148" i="1"/>
  <c r="D149" i="1"/>
  <c r="D150" i="1"/>
  <c r="D151" i="1"/>
  <c r="D151" i="3" s="1"/>
  <c r="D152" i="1"/>
  <c r="G152" i="1" s="1"/>
  <c r="D153" i="1"/>
  <c r="E153" i="1" s="1"/>
  <c r="D154" i="1"/>
  <c r="D155" i="1"/>
  <c r="D156" i="1"/>
  <c r="D157" i="1"/>
  <c r="D158" i="1"/>
  <c r="D159" i="1"/>
  <c r="D159" i="3" s="1"/>
  <c r="D160" i="1"/>
  <c r="G160" i="1" s="1"/>
  <c r="D161" i="1"/>
  <c r="E161" i="1" s="1"/>
  <c r="D162" i="1"/>
  <c r="D163" i="1"/>
  <c r="D164" i="1"/>
  <c r="D165" i="1"/>
  <c r="D166" i="1"/>
  <c r="D167" i="1"/>
  <c r="D167" i="3" s="1"/>
  <c r="D168" i="1"/>
  <c r="G168" i="1" s="1"/>
  <c r="D169" i="1"/>
  <c r="E169" i="1" s="1"/>
  <c r="D170" i="1"/>
  <c r="D171" i="1"/>
  <c r="D172" i="1"/>
  <c r="D173" i="1"/>
  <c r="D174" i="1"/>
  <c r="D175" i="1"/>
  <c r="D175" i="3" s="1"/>
  <c r="D176" i="1"/>
  <c r="G176" i="1" s="1"/>
  <c r="D177" i="1"/>
  <c r="E177" i="1" s="1"/>
  <c r="D178" i="1"/>
  <c r="D179" i="1"/>
  <c r="D180" i="1"/>
  <c r="E180" i="1" s="1"/>
  <c r="D181" i="1"/>
  <c r="D182" i="1"/>
  <c r="G182" i="1" s="1"/>
  <c r="D183" i="1"/>
  <c r="D183" i="3" s="1"/>
  <c r="D184" i="1"/>
  <c r="G184" i="1" s="1"/>
  <c r="D185" i="1"/>
  <c r="E185" i="1" s="1"/>
  <c r="D186" i="1"/>
  <c r="D186" i="3" s="1"/>
  <c r="D187" i="1"/>
  <c r="D188" i="1"/>
  <c r="D189" i="1"/>
  <c r="D190" i="1"/>
  <c r="G190" i="1" s="1"/>
  <c r="D191" i="1"/>
  <c r="D191" i="3" s="1"/>
  <c r="D192" i="1"/>
  <c r="G192" i="1" s="1"/>
  <c r="D193" i="1"/>
  <c r="D193" i="3" s="1"/>
  <c r="D194" i="1"/>
  <c r="D194" i="3" s="1"/>
  <c r="D195" i="1"/>
  <c r="D196" i="1"/>
  <c r="D197" i="1"/>
  <c r="D198" i="1"/>
  <c r="E198" i="1" s="1"/>
  <c r="D199" i="1"/>
  <c r="D199" i="3" s="1"/>
  <c r="D200" i="1"/>
  <c r="E200" i="1" s="1"/>
  <c r="D201" i="1"/>
  <c r="E201" i="1" s="1"/>
  <c r="D202" i="1"/>
  <c r="D203" i="1"/>
  <c r="D204" i="1"/>
  <c r="D205" i="1"/>
  <c r="D206" i="1"/>
  <c r="E206" i="1" s="1"/>
  <c r="D207" i="1"/>
  <c r="D207" i="3" s="1"/>
  <c r="D208" i="1"/>
  <c r="E208" i="1" s="1"/>
  <c r="D209" i="1"/>
  <c r="E209" i="1" s="1"/>
  <c r="D210" i="1"/>
  <c r="D211" i="1"/>
  <c r="D212" i="1"/>
  <c r="D213" i="1"/>
  <c r="D214" i="1"/>
  <c r="E214" i="1" s="1"/>
  <c r="D215" i="1"/>
  <c r="E215" i="1" s="1"/>
  <c r="D216" i="1"/>
  <c r="E216" i="1" s="1"/>
  <c r="D217" i="1"/>
  <c r="E217" i="1" s="1"/>
  <c r="D218" i="1"/>
  <c r="D219" i="1"/>
  <c r="D219" i="3" s="1"/>
  <c r="D220" i="1"/>
  <c r="D221" i="1"/>
  <c r="D222" i="1"/>
  <c r="E222" i="1" s="1"/>
  <c r="D223" i="1"/>
  <c r="D224" i="1"/>
  <c r="E224" i="1" s="1"/>
  <c r="D225" i="1"/>
  <c r="E225" i="1" s="1"/>
  <c r="D226" i="1"/>
  <c r="D227" i="1"/>
  <c r="D227" i="3" s="1"/>
  <c r="D228" i="1"/>
  <c r="D229" i="1"/>
  <c r="D230" i="1"/>
  <c r="E230" i="1" s="1"/>
  <c r="D231" i="1"/>
  <c r="D232" i="1"/>
  <c r="E232" i="1" s="1"/>
  <c r="D233" i="1"/>
  <c r="E233" i="1" s="1"/>
  <c r="D234" i="1"/>
  <c r="D235" i="1"/>
  <c r="D235" i="3" s="1"/>
  <c r="D236" i="1"/>
  <c r="D237" i="1"/>
  <c r="D238" i="1"/>
  <c r="E238" i="1" s="1"/>
  <c r="D239" i="1"/>
  <c r="D240" i="1"/>
  <c r="E240" i="1" s="1"/>
  <c r="D241" i="1"/>
  <c r="E241" i="1" s="1"/>
  <c r="D242" i="1"/>
  <c r="D243" i="1"/>
  <c r="D244" i="1"/>
  <c r="D245" i="1"/>
  <c r="D246" i="1"/>
  <c r="E246" i="1" s="1"/>
  <c r="D247" i="1"/>
  <c r="D248" i="1"/>
  <c r="E248" i="1" s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" i="1"/>
  <c r="A250" i="1"/>
  <c r="E247" i="1" l="1"/>
  <c r="G247" i="1"/>
  <c r="D247" i="3"/>
  <c r="E63" i="1"/>
  <c r="G151" i="1"/>
  <c r="G23" i="1"/>
  <c r="G174" i="1"/>
  <c r="E174" i="1"/>
  <c r="G166" i="1"/>
  <c r="E166" i="1"/>
  <c r="G158" i="1"/>
  <c r="E158" i="1"/>
  <c r="G150" i="1"/>
  <c r="E150" i="1"/>
  <c r="G142" i="1"/>
  <c r="E142" i="1"/>
  <c r="G134" i="1"/>
  <c r="E134" i="1"/>
  <c r="G126" i="1"/>
  <c r="E126" i="1"/>
  <c r="G118" i="1"/>
  <c r="E118" i="1"/>
  <c r="G110" i="1"/>
  <c r="E110" i="1"/>
  <c r="G102" i="1"/>
  <c r="E102" i="1"/>
  <c r="G94" i="1"/>
  <c r="E94" i="1"/>
  <c r="G86" i="1"/>
  <c r="E86" i="1"/>
  <c r="G78" i="1"/>
  <c r="E78" i="1"/>
  <c r="G70" i="1"/>
  <c r="E70" i="1"/>
  <c r="G62" i="1"/>
  <c r="E62" i="1"/>
  <c r="G54" i="1"/>
  <c r="E54" i="1"/>
  <c r="G46" i="1"/>
  <c r="E46" i="1"/>
  <c r="G38" i="1"/>
  <c r="E38" i="1"/>
  <c r="G30" i="1"/>
  <c r="E30" i="1"/>
  <c r="G22" i="1"/>
  <c r="E22" i="1"/>
  <c r="G14" i="1"/>
  <c r="E14" i="1"/>
  <c r="G6" i="1"/>
  <c r="E6" i="1"/>
  <c r="E227" i="1"/>
  <c r="E191" i="1"/>
  <c r="E183" i="1"/>
  <c r="E167" i="1"/>
  <c r="E144" i="1"/>
  <c r="E103" i="1"/>
  <c r="E80" i="1"/>
  <c r="E39" i="1"/>
  <c r="E16" i="1"/>
  <c r="G239" i="1"/>
  <c r="G231" i="1"/>
  <c r="G223" i="1"/>
  <c r="G207" i="1"/>
  <c r="G199" i="1"/>
  <c r="G191" i="1"/>
  <c r="G169" i="1"/>
  <c r="G127" i="1"/>
  <c r="G105" i="1"/>
  <c r="G63" i="1"/>
  <c r="G41" i="1"/>
  <c r="D232" i="3"/>
  <c r="D209" i="3"/>
  <c r="D190" i="3"/>
  <c r="D168" i="3"/>
  <c r="D145" i="3"/>
  <c r="D126" i="3"/>
  <c r="D104" i="3"/>
  <c r="D81" i="3"/>
  <c r="D62" i="3"/>
  <c r="D40" i="3"/>
  <c r="D17" i="3"/>
  <c r="E223" i="1"/>
  <c r="D223" i="3"/>
  <c r="E127" i="1"/>
  <c r="G87" i="1"/>
  <c r="E245" i="1"/>
  <c r="D245" i="3"/>
  <c r="E237" i="1"/>
  <c r="D237" i="3"/>
  <c r="E229" i="1"/>
  <c r="D229" i="3"/>
  <c r="E221" i="1"/>
  <c r="D221" i="3"/>
  <c r="E213" i="1"/>
  <c r="D213" i="3"/>
  <c r="E205" i="1"/>
  <c r="D205" i="3"/>
  <c r="E197" i="1"/>
  <c r="D197" i="3"/>
  <c r="G189" i="1"/>
  <c r="D189" i="3"/>
  <c r="G181" i="1"/>
  <c r="D181" i="3"/>
  <c r="G173" i="1"/>
  <c r="D173" i="3"/>
  <c r="G165" i="1"/>
  <c r="D165" i="3"/>
  <c r="G157" i="1"/>
  <c r="D157" i="3"/>
  <c r="G149" i="1"/>
  <c r="D149" i="3"/>
  <c r="G141" i="1"/>
  <c r="D141" i="3"/>
  <c r="G133" i="1"/>
  <c r="D133" i="3"/>
  <c r="G125" i="1"/>
  <c r="D125" i="3"/>
  <c r="G117" i="1"/>
  <c r="D117" i="3"/>
  <c r="G109" i="1"/>
  <c r="D109" i="3"/>
  <c r="G101" i="1"/>
  <c r="D101" i="3"/>
  <c r="G93" i="1"/>
  <c r="D93" i="3"/>
  <c r="G85" i="1"/>
  <c r="D85" i="3"/>
  <c r="G77" i="1"/>
  <c r="D77" i="3"/>
  <c r="G69" i="1"/>
  <c r="D69" i="3"/>
  <c r="G61" i="1"/>
  <c r="D61" i="3"/>
  <c r="G53" i="1"/>
  <c r="D53" i="3"/>
  <c r="G45" i="1"/>
  <c r="D45" i="3"/>
  <c r="G37" i="1"/>
  <c r="D37" i="3"/>
  <c r="G29" i="1"/>
  <c r="D29" i="3"/>
  <c r="G21" i="1"/>
  <c r="D21" i="3"/>
  <c r="G13" i="1"/>
  <c r="D13" i="3"/>
  <c r="G5" i="1"/>
  <c r="D5" i="3"/>
  <c r="E219" i="1"/>
  <c r="E190" i="1"/>
  <c r="E182" i="1"/>
  <c r="E165" i="1"/>
  <c r="E143" i="1"/>
  <c r="E120" i="1"/>
  <c r="E101" i="1"/>
  <c r="E79" i="1"/>
  <c r="E56" i="1"/>
  <c r="E37" i="1"/>
  <c r="E15" i="1"/>
  <c r="G246" i="1"/>
  <c r="G238" i="1"/>
  <c r="G230" i="1"/>
  <c r="G222" i="1"/>
  <c r="G214" i="1"/>
  <c r="G206" i="1"/>
  <c r="G198" i="1"/>
  <c r="G186" i="1"/>
  <c r="G167" i="1"/>
  <c r="G145" i="1"/>
  <c r="G103" i="1"/>
  <c r="G81" i="1"/>
  <c r="G39" i="1"/>
  <c r="G17" i="1"/>
  <c r="D230" i="3"/>
  <c r="D208" i="3"/>
  <c r="D185" i="3"/>
  <c r="D166" i="3"/>
  <c r="D144" i="3"/>
  <c r="D121" i="3"/>
  <c r="D102" i="3"/>
  <c r="D80" i="3"/>
  <c r="D57" i="3"/>
  <c r="D38" i="3"/>
  <c r="D16" i="3"/>
  <c r="E220" i="1"/>
  <c r="D220" i="3"/>
  <c r="E204" i="1"/>
  <c r="D204" i="3"/>
  <c r="G188" i="1"/>
  <c r="D188" i="3"/>
  <c r="G172" i="1"/>
  <c r="D172" i="3"/>
  <c r="E172" i="1"/>
  <c r="G148" i="1"/>
  <c r="D148" i="3"/>
  <c r="E148" i="1"/>
  <c r="G124" i="1"/>
  <c r="D124" i="3"/>
  <c r="E124" i="1"/>
  <c r="G108" i="1"/>
  <c r="D108" i="3"/>
  <c r="E108" i="1"/>
  <c r="G92" i="1"/>
  <c r="D92" i="3"/>
  <c r="E92" i="1"/>
  <c r="G76" i="1"/>
  <c r="D76" i="3"/>
  <c r="E76" i="1"/>
  <c r="G60" i="1"/>
  <c r="D60" i="3"/>
  <c r="E60" i="1"/>
  <c r="G44" i="1"/>
  <c r="D44" i="3"/>
  <c r="E44" i="1"/>
  <c r="G28" i="1"/>
  <c r="D28" i="3"/>
  <c r="E28" i="1"/>
  <c r="G4" i="1"/>
  <c r="D4" i="3"/>
  <c r="E4" i="1"/>
  <c r="G143" i="1"/>
  <c r="G79" i="1"/>
  <c r="E243" i="1"/>
  <c r="D243" i="3"/>
  <c r="E211" i="1"/>
  <c r="D211" i="3"/>
  <c r="E203" i="1"/>
  <c r="D203" i="3"/>
  <c r="E195" i="1"/>
  <c r="D195" i="3"/>
  <c r="G187" i="1"/>
  <c r="D187" i="3"/>
  <c r="G179" i="1"/>
  <c r="D179" i="3"/>
  <c r="E179" i="1"/>
  <c r="G171" i="1"/>
  <c r="D171" i="3"/>
  <c r="E171" i="1"/>
  <c r="G163" i="1"/>
  <c r="D163" i="3"/>
  <c r="E163" i="1"/>
  <c r="G155" i="1"/>
  <c r="D155" i="3"/>
  <c r="E155" i="1"/>
  <c r="G147" i="1"/>
  <c r="D147" i="3"/>
  <c r="E147" i="1"/>
  <c r="G139" i="1"/>
  <c r="D139" i="3"/>
  <c r="E139" i="1"/>
  <c r="G131" i="1"/>
  <c r="D131" i="3"/>
  <c r="E131" i="1"/>
  <c r="G123" i="1"/>
  <c r="D123" i="3"/>
  <c r="E123" i="1"/>
  <c r="G115" i="1"/>
  <c r="D115" i="3"/>
  <c r="E115" i="1"/>
  <c r="G107" i="1"/>
  <c r="D107" i="3"/>
  <c r="E107" i="1"/>
  <c r="G99" i="1"/>
  <c r="D99" i="3"/>
  <c r="E99" i="1"/>
  <c r="G91" i="1"/>
  <c r="D91" i="3"/>
  <c r="E91" i="1"/>
  <c r="G83" i="1"/>
  <c r="D83" i="3"/>
  <c r="E83" i="1"/>
  <c r="G75" i="1"/>
  <c r="D75" i="3"/>
  <c r="E75" i="1"/>
  <c r="G67" i="1"/>
  <c r="D67" i="3"/>
  <c r="E67" i="1"/>
  <c r="G59" i="1"/>
  <c r="D59" i="3"/>
  <c r="E59" i="1"/>
  <c r="G51" i="1"/>
  <c r="D51" i="3"/>
  <c r="E51" i="1"/>
  <c r="G43" i="1"/>
  <c r="D43" i="3"/>
  <c r="E43" i="1"/>
  <c r="G35" i="1"/>
  <c r="D35" i="3"/>
  <c r="E35" i="1"/>
  <c r="G27" i="1"/>
  <c r="D27" i="3"/>
  <c r="E27" i="1"/>
  <c r="G19" i="1"/>
  <c r="D19" i="3"/>
  <c r="E19" i="1"/>
  <c r="G11" i="1"/>
  <c r="D11" i="3"/>
  <c r="E11" i="1"/>
  <c r="G3" i="1"/>
  <c r="D3" i="3"/>
  <c r="E3" i="1"/>
  <c r="E207" i="1"/>
  <c r="E188" i="1"/>
  <c r="E159" i="1"/>
  <c r="E136" i="1"/>
  <c r="E117" i="1"/>
  <c r="E95" i="1"/>
  <c r="E72" i="1"/>
  <c r="E53" i="1"/>
  <c r="E31" i="1"/>
  <c r="E8" i="1"/>
  <c r="G244" i="1"/>
  <c r="G236" i="1"/>
  <c r="G228" i="1"/>
  <c r="G220" i="1"/>
  <c r="G212" i="1"/>
  <c r="G204" i="1"/>
  <c r="G196" i="1"/>
  <c r="G183" i="1"/>
  <c r="G161" i="1"/>
  <c r="G119" i="1"/>
  <c r="G97" i="1"/>
  <c r="G55" i="1"/>
  <c r="G33" i="1"/>
  <c r="D246" i="3"/>
  <c r="D224" i="3"/>
  <c r="D201" i="3"/>
  <c r="D182" i="3"/>
  <c r="D160" i="3"/>
  <c r="D137" i="3"/>
  <c r="D118" i="3"/>
  <c r="D96" i="3"/>
  <c r="D73" i="3"/>
  <c r="D54" i="3"/>
  <c r="D32" i="3"/>
  <c r="D9" i="3"/>
  <c r="E228" i="1"/>
  <c r="D228" i="3"/>
  <c r="E212" i="1"/>
  <c r="D212" i="3"/>
  <c r="D252" i="1"/>
  <c r="D196" i="3"/>
  <c r="G180" i="1"/>
  <c r="D180" i="3"/>
  <c r="G156" i="1"/>
  <c r="D156" i="3"/>
  <c r="E156" i="1"/>
  <c r="G132" i="1"/>
  <c r="D132" i="3"/>
  <c r="E132" i="1"/>
  <c r="G116" i="1"/>
  <c r="D116" i="3"/>
  <c r="E116" i="1"/>
  <c r="G100" i="1"/>
  <c r="D100" i="3"/>
  <c r="E100" i="1"/>
  <c r="G84" i="1"/>
  <c r="D84" i="3"/>
  <c r="E84" i="1"/>
  <c r="G68" i="1"/>
  <c r="D68" i="3"/>
  <c r="E68" i="1"/>
  <c r="G52" i="1"/>
  <c r="D52" i="3"/>
  <c r="E52" i="1"/>
  <c r="G36" i="1"/>
  <c r="D36" i="3"/>
  <c r="E36" i="1"/>
  <c r="G12" i="1"/>
  <c r="D12" i="3"/>
  <c r="E12" i="1"/>
  <c r="E119" i="1"/>
  <c r="E55" i="1"/>
  <c r="G15" i="1"/>
  <c r="E242" i="1"/>
  <c r="D242" i="3"/>
  <c r="E234" i="1"/>
  <c r="D234" i="3"/>
  <c r="E226" i="1"/>
  <c r="D226" i="3"/>
  <c r="E218" i="1"/>
  <c r="D218" i="3"/>
  <c r="E210" i="1"/>
  <c r="D210" i="3"/>
  <c r="E202" i="1"/>
  <c r="D202" i="3"/>
  <c r="D178" i="3"/>
  <c r="E178" i="1"/>
  <c r="D170" i="3"/>
  <c r="E170" i="1"/>
  <c r="D162" i="3"/>
  <c r="E162" i="1"/>
  <c r="D154" i="3"/>
  <c r="E154" i="1"/>
  <c r="D146" i="3"/>
  <c r="E146" i="1"/>
  <c r="D138" i="3"/>
  <c r="E138" i="1"/>
  <c r="D130" i="3"/>
  <c r="E130" i="1"/>
  <c r="D122" i="3"/>
  <c r="E122" i="1"/>
  <c r="D114" i="3"/>
  <c r="E114" i="1"/>
  <c r="D106" i="3"/>
  <c r="E106" i="1"/>
  <c r="D98" i="3"/>
  <c r="E98" i="1"/>
  <c r="D90" i="3"/>
  <c r="E90" i="1"/>
  <c r="D82" i="3"/>
  <c r="E82" i="1"/>
  <c r="D74" i="3"/>
  <c r="E74" i="1"/>
  <c r="D66" i="3"/>
  <c r="E66" i="1"/>
  <c r="D58" i="3"/>
  <c r="E58" i="1"/>
  <c r="D50" i="3"/>
  <c r="E50" i="1"/>
  <c r="D42" i="3"/>
  <c r="E42" i="1"/>
  <c r="D34" i="3"/>
  <c r="E34" i="1"/>
  <c r="D26" i="3"/>
  <c r="E26" i="1"/>
  <c r="D18" i="3"/>
  <c r="E18" i="1"/>
  <c r="D10" i="3"/>
  <c r="E10" i="1"/>
  <c r="E199" i="1"/>
  <c r="E187" i="1"/>
  <c r="E176" i="1"/>
  <c r="E157" i="1"/>
  <c r="E135" i="1"/>
  <c r="E112" i="1"/>
  <c r="E93" i="1"/>
  <c r="E71" i="1"/>
  <c r="E48" i="1"/>
  <c r="E29" i="1"/>
  <c r="E7" i="1"/>
  <c r="G178" i="1"/>
  <c r="G159" i="1"/>
  <c r="G137" i="1"/>
  <c r="G114" i="1"/>
  <c r="G95" i="1"/>
  <c r="G73" i="1"/>
  <c r="G50" i="1"/>
  <c r="G31" i="1"/>
  <c r="G9" i="1"/>
  <c r="D241" i="3"/>
  <c r="D222" i="3"/>
  <c r="D200" i="3"/>
  <c r="D177" i="3"/>
  <c r="D158" i="3"/>
  <c r="D136" i="3"/>
  <c r="D113" i="3"/>
  <c r="D94" i="3"/>
  <c r="D72" i="3"/>
  <c r="D49" i="3"/>
  <c r="D30" i="3"/>
  <c r="D8" i="3"/>
  <c r="E239" i="1"/>
  <c r="D239" i="3"/>
  <c r="G215" i="1"/>
  <c r="D215" i="3"/>
  <c r="E244" i="1"/>
  <c r="D244" i="3"/>
  <c r="G140" i="1"/>
  <c r="D140" i="3"/>
  <c r="E140" i="1"/>
  <c r="E194" i="1"/>
  <c r="E186" i="1"/>
  <c r="E175" i="1"/>
  <c r="E152" i="1"/>
  <c r="E133" i="1"/>
  <c r="E111" i="1"/>
  <c r="E88" i="1"/>
  <c r="E69" i="1"/>
  <c r="E47" i="1"/>
  <c r="E24" i="1"/>
  <c r="E5" i="1"/>
  <c r="G177" i="1"/>
  <c r="G154" i="1"/>
  <c r="G135" i="1"/>
  <c r="G113" i="1"/>
  <c r="G90" i="1"/>
  <c r="G71" i="1"/>
  <c r="G49" i="1"/>
  <c r="G26" i="1"/>
  <c r="G7" i="1"/>
  <c r="D240" i="3"/>
  <c r="D217" i="3"/>
  <c r="D198" i="3"/>
  <c r="D176" i="3"/>
  <c r="D153" i="3"/>
  <c r="D134" i="3"/>
  <c r="D112" i="3"/>
  <c r="D89" i="3"/>
  <c r="D70" i="3"/>
  <c r="D48" i="3"/>
  <c r="D25" i="3"/>
  <c r="D6" i="3"/>
  <c r="E231" i="1"/>
  <c r="D231" i="3"/>
  <c r="E236" i="1"/>
  <c r="D236" i="3"/>
  <c r="G164" i="1"/>
  <c r="D164" i="3"/>
  <c r="E164" i="1"/>
  <c r="G20" i="1"/>
  <c r="D20" i="3"/>
  <c r="E20" i="1"/>
  <c r="E193" i="1"/>
  <c r="E173" i="1"/>
  <c r="E151" i="1"/>
  <c r="E128" i="1"/>
  <c r="E109" i="1"/>
  <c r="E87" i="1"/>
  <c r="E64" i="1"/>
  <c r="E45" i="1"/>
  <c r="E23" i="1"/>
  <c r="G194" i="1"/>
  <c r="G175" i="1"/>
  <c r="G153" i="1"/>
  <c r="G130" i="1"/>
  <c r="G111" i="1"/>
  <c r="G89" i="1"/>
  <c r="G66" i="1"/>
  <c r="G47" i="1"/>
  <c r="G25" i="1"/>
  <c r="D238" i="3"/>
  <c r="D216" i="3"/>
  <c r="D174" i="3"/>
  <c r="D152" i="3"/>
  <c r="D129" i="3"/>
  <c r="D110" i="3"/>
  <c r="D88" i="3"/>
  <c r="D65" i="3"/>
  <c r="D46" i="3"/>
  <c r="D24" i="3"/>
  <c r="G245" i="1"/>
  <c r="G237" i="1"/>
  <c r="G229" i="1"/>
  <c r="G221" i="1"/>
  <c r="G213" i="1"/>
  <c r="G205" i="1"/>
  <c r="G197" i="1"/>
  <c r="G243" i="1"/>
  <c r="G235" i="1"/>
  <c r="G227" i="1"/>
  <c r="G219" i="1"/>
  <c r="G211" i="1"/>
  <c r="G203" i="1"/>
  <c r="G195" i="1"/>
  <c r="G242" i="1"/>
  <c r="G234" i="1"/>
  <c r="G226" i="1"/>
  <c r="G218" i="1"/>
  <c r="G210" i="1"/>
  <c r="G202" i="1"/>
  <c r="G241" i="1"/>
  <c r="G233" i="1"/>
  <c r="G225" i="1"/>
  <c r="G217" i="1"/>
  <c r="G209" i="1"/>
  <c r="G201" i="1"/>
  <c r="G248" i="1"/>
  <c r="G240" i="1"/>
  <c r="G232" i="1"/>
  <c r="G224" i="1"/>
  <c r="G216" i="1"/>
  <c r="G208" i="1"/>
  <c r="G200" i="1"/>
  <c r="C5" i="4"/>
  <c r="M256" i="1"/>
  <c r="D5" i="4" s="1"/>
  <c r="G254" i="1"/>
  <c r="H244" i="1"/>
  <c r="H16" i="1"/>
  <c r="H168" i="1"/>
  <c r="H54" i="1"/>
  <c r="H118" i="1"/>
  <c r="H182" i="1"/>
  <c r="H246" i="1"/>
  <c r="C252" i="1"/>
  <c r="E196" i="1"/>
  <c r="C253" i="1" s="1"/>
  <c r="D253" i="1" s="1"/>
  <c r="H9" i="1" l="1"/>
  <c r="C272" i="1"/>
  <c r="B264" i="1"/>
  <c r="H240" i="1"/>
  <c r="H238" i="1"/>
  <c r="H174" i="1"/>
  <c r="H110" i="1"/>
  <c r="H46" i="1"/>
  <c r="H120" i="1"/>
  <c r="H247" i="1"/>
  <c r="H63" i="1"/>
  <c r="H197" i="1"/>
  <c r="H133" i="1"/>
  <c r="H69" i="1"/>
  <c r="H5" i="1"/>
  <c r="H167" i="1"/>
  <c r="H236" i="1"/>
  <c r="H172" i="1"/>
  <c r="H108" i="1"/>
  <c r="H44" i="1"/>
  <c r="H40" i="1"/>
  <c r="H211" i="1"/>
  <c r="H147" i="1"/>
  <c r="H83" i="1"/>
  <c r="H19" i="1"/>
  <c r="H31" i="1"/>
  <c r="H186" i="1"/>
  <c r="H122" i="1"/>
  <c r="H50" i="1"/>
  <c r="H128" i="1"/>
  <c r="H225" i="1"/>
  <c r="H153" i="1"/>
  <c r="H81" i="1"/>
  <c r="H192" i="1"/>
  <c r="H230" i="1"/>
  <c r="H166" i="1"/>
  <c r="H102" i="1"/>
  <c r="H38" i="1"/>
  <c r="H104" i="1"/>
  <c r="H215" i="1"/>
  <c r="H23" i="1"/>
  <c r="H189" i="1"/>
  <c r="H125" i="1"/>
  <c r="H61" i="1"/>
  <c r="H224" i="1"/>
  <c r="H119" i="1"/>
  <c r="H228" i="1"/>
  <c r="H164" i="1"/>
  <c r="H100" i="1"/>
  <c r="H36" i="1"/>
  <c r="H199" i="1"/>
  <c r="H203" i="1"/>
  <c r="H139" i="1"/>
  <c r="H75" i="1"/>
  <c r="H11" i="1"/>
  <c r="H242" i="1"/>
  <c r="H178" i="1"/>
  <c r="H114" i="1"/>
  <c r="H42" i="1"/>
  <c r="H24" i="1"/>
  <c r="H217" i="1"/>
  <c r="H145" i="1"/>
  <c r="H65" i="1"/>
  <c r="H130" i="1"/>
  <c r="H176" i="1"/>
  <c r="H161" i="1"/>
  <c r="H222" i="1"/>
  <c r="H94" i="1"/>
  <c r="H183" i="1"/>
  <c r="H117" i="1"/>
  <c r="H103" i="1"/>
  <c r="H156" i="1"/>
  <c r="H143" i="1"/>
  <c r="H131" i="1"/>
  <c r="H234" i="1"/>
  <c r="H106" i="1"/>
  <c r="H209" i="1"/>
  <c r="H57" i="1"/>
  <c r="H112" i="1"/>
  <c r="H86" i="1"/>
  <c r="H88" i="1"/>
  <c r="H109" i="1"/>
  <c r="H152" i="1"/>
  <c r="H148" i="1"/>
  <c r="H20" i="1"/>
  <c r="H187" i="1"/>
  <c r="H123" i="1"/>
  <c r="H59" i="1"/>
  <c r="H226" i="1"/>
  <c r="H162" i="1"/>
  <c r="H98" i="1"/>
  <c r="H26" i="1"/>
  <c r="H175" i="1"/>
  <c r="H193" i="1"/>
  <c r="H121" i="1"/>
  <c r="H49" i="1"/>
  <c r="C261" i="1"/>
  <c r="C270" i="1"/>
  <c r="H71" i="1"/>
  <c r="H141" i="1"/>
  <c r="H13" i="1"/>
  <c r="H180" i="1"/>
  <c r="H52" i="1"/>
  <c r="H219" i="1"/>
  <c r="H91" i="1"/>
  <c r="H151" i="1"/>
  <c r="H58" i="1"/>
  <c r="H89" i="1"/>
  <c r="H158" i="1"/>
  <c r="H96" i="1"/>
  <c r="H245" i="1"/>
  <c r="H53" i="1"/>
  <c r="H220" i="1"/>
  <c r="H92" i="1"/>
  <c r="H195" i="1"/>
  <c r="H3" i="1"/>
  <c r="H170" i="1"/>
  <c r="H231" i="1"/>
  <c r="H129" i="1"/>
  <c r="H214" i="1"/>
  <c r="H22" i="1"/>
  <c r="H159" i="1"/>
  <c r="H173" i="1"/>
  <c r="H45" i="1"/>
  <c r="H212" i="1"/>
  <c r="H84" i="1"/>
  <c r="H39" i="1"/>
  <c r="H208" i="1"/>
  <c r="H48" i="1"/>
  <c r="H206" i="1"/>
  <c r="H142" i="1"/>
  <c r="H78" i="1"/>
  <c r="H14" i="1"/>
  <c r="H80" i="1"/>
  <c r="H127" i="1"/>
  <c r="H229" i="1"/>
  <c r="H165" i="1"/>
  <c r="H101" i="1"/>
  <c r="H37" i="1"/>
  <c r="H56" i="1"/>
  <c r="H79" i="1"/>
  <c r="H204" i="1"/>
  <c r="H140" i="1"/>
  <c r="H76" i="1"/>
  <c r="H12" i="1"/>
  <c r="H243" i="1"/>
  <c r="H179" i="1"/>
  <c r="H115" i="1"/>
  <c r="H51" i="1"/>
  <c r="H144" i="1"/>
  <c r="H218" i="1"/>
  <c r="H154" i="1"/>
  <c r="H90" i="1"/>
  <c r="H18" i="1"/>
  <c r="H47" i="1"/>
  <c r="H185" i="1"/>
  <c r="H113" i="1"/>
  <c r="H41" i="1"/>
  <c r="H205" i="1"/>
  <c r="H77" i="1"/>
  <c r="H191" i="1"/>
  <c r="H116" i="1"/>
  <c r="H136" i="1"/>
  <c r="H155" i="1"/>
  <c r="H27" i="1"/>
  <c r="H194" i="1"/>
  <c r="H233" i="1"/>
  <c r="H160" i="1"/>
  <c r="H30" i="1"/>
  <c r="H181" i="1"/>
  <c r="H184" i="1"/>
  <c r="H28" i="1"/>
  <c r="H67" i="1"/>
  <c r="H34" i="1"/>
  <c r="H150" i="1"/>
  <c r="H237" i="1"/>
  <c r="H95" i="1"/>
  <c r="H239" i="1"/>
  <c r="H198" i="1"/>
  <c r="H134" i="1"/>
  <c r="H70" i="1"/>
  <c r="H6" i="1"/>
  <c r="H72" i="1"/>
  <c r="H111" i="1"/>
  <c r="H221" i="1"/>
  <c r="H157" i="1"/>
  <c r="H93" i="1"/>
  <c r="H29" i="1"/>
  <c r="H8" i="1"/>
  <c r="H55" i="1"/>
  <c r="H196" i="1"/>
  <c r="H132" i="1"/>
  <c r="H68" i="1"/>
  <c r="H4" i="1"/>
  <c r="H235" i="1"/>
  <c r="H171" i="1"/>
  <c r="H107" i="1"/>
  <c r="H43" i="1"/>
  <c r="H32" i="1"/>
  <c r="H210" i="1"/>
  <c r="H146" i="1"/>
  <c r="H82" i="1"/>
  <c r="H248" i="1"/>
  <c r="H2" i="1"/>
  <c r="H177" i="1"/>
  <c r="H105" i="1"/>
  <c r="H25" i="1"/>
  <c r="B261" i="1"/>
  <c r="C271" i="1"/>
  <c r="H7" i="1"/>
  <c r="H190" i="1"/>
  <c r="H126" i="1"/>
  <c r="H62" i="1"/>
  <c r="H232" i="1"/>
  <c r="H64" i="1"/>
  <c r="H87" i="1"/>
  <c r="H213" i="1"/>
  <c r="H149" i="1"/>
  <c r="H85" i="1"/>
  <c r="H21" i="1"/>
  <c r="H223" i="1"/>
  <c r="H15" i="1"/>
  <c r="H188" i="1"/>
  <c r="H124" i="1"/>
  <c r="H60" i="1"/>
  <c r="H200" i="1"/>
  <c r="H227" i="1"/>
  <c r="H163" i="1"/>
  <c r="H99" i="1"/>
  <c r="H35" i="1"/>
  <c r="H207" i="1"/>
  <c r="H202" i="1"/>
  <c r="H138" i="1"/>
  <c r="H66" i="1"/>
  <c r="H216" i="1"/>
  <c r="H241" i="1"/>
  <c r="H169" i="1"/>
  <c r="H97" i="1"/>
  <c r="H17" i="1"/>
  <c r="H33" i="1"/>
  <c r="H74" i="1"/>
  <c r="H10" i="1"/>
  <c r="H135" i="1"/>
  <c r="H201" i="1"/>
  <c r="H137" i="1"/>
  <c r="H73" i="1"/>
  <c r="B266" i="1" l="1"/>
  <c r="B265" i="1"/>
  <c r="H255" i="1"/>
  <c r="C4" i="4" l="1"/>
  <c r="C273" i="1"/>
  <c r="H256" i="1"/>
  <c r="D4" i="4" l="1"/>
  <c r="B8" i="4" s="1"/>
  <c r="C274" i="1"/>
</calcChain>
</file>

<file path=xl/sharedStrings.xml><?xml version="1.0" encoding="utf-8"?>
<sst xmlns="http://schemas.openxmlformats.org/spreadsheetml/2006/main" count="122" uniqueCount="102">
  <si>
    <t>Date</t>
  </si>
  <si>
    <t>M&amp;M Stock Price (Daily)</t>
  </si>
  <si>
    <t>Add 1</t>
  </si>
  <si>
    <t>AM (Daily)</t>
  </si>
  <si>
    <t>GM (Daily growth rate)</t>
  </si>
  <si>
    <t>24/11/2025</t>
  </si>
  <si>
    <t xml:space="preserve">Expected Return </t>
  </si>
  <si>
    <t>Simple Return (Ri) =[ Pt-P(t-1)/P(t-1)]</t>
  </si>
  <si>
    <t>Ri=Lognormal formula: LN(Pt/P(t-1)</t>
  </si>
  <si>
    <t>Probability (Pi)</t>
  </si>
  <si>
    <t>Er = Sum of ( Ri*Pi)</t>
  </si>
  <si>
    <t>sum of (Ri*Pi)</t>
  </si>
  <si>
    <t>Variance= (Ri-Er)^2)*Pi</t>
  </si>
  <si>
    <t>Variance = sum of[(Ri-ER)^2*Pi]</t>
  </si>
  <si>
    <t>sqtr of Variance</t>
  </si>
  <si>
    <t>Stock Price Prediction based on return</t>
  </si>
  <si>
    <t xml:space="preserve">Stock price prediction based on risk and return </t>
  </si>
  <si>
    <t xml:space="preserve">Fluctuation </t>
  </si>
  <si>
    <t>Price Rang</t>
  </si>
  <si>
    <t>between 3687.98 to 3752.77</t>
  </si>
  <si>
    <t>Risk (volatility of not achieving expected return)</t>
  </si>
  <si>
    <t>AM (Monthly)</t>
  </si>
  <si>
    <t>GM (Monthly growth rate)</t>
  </si>
  <si>
    <t>CAPM = Er=Rf+(Rm-Rf)Beta</t>
  </si>
  <si>
    <t>Er</t>
  </si>
  <si>
    <t>Expected return</t>
  </si>
  <si>
    <t>Rf</t>
  </si>
  <si>
    <t>Risk free rate of return</t>
  </si>
  <si>
    <t>Rm</t>
  </si>
  <si>
    <t>Market return (index rate of return)</t>
  </si>
  <si>
    <t>Rm-Rf</t>
  </si>
  <si>
    <t>Risk premium</t>
  </si>
  <si>
    <t>Beta</t>
  </si>
  <si>
    <t>10 years govt. bonds rate</t>
  </si>
  <si>
    <t>Nifty 50</t>
  </si>
  <si>
    <t>Rm = Ln return</t>
  </si>
  <si>
    <t>M&amp;M (Ri)</t>
  </si>
  <si>
    <t>Rf =10yrs govt bond = 6.53% pa</t>
  </si>
  <si>
    <t>Linear Reggression = Y = a+bx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</si>
  <si>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</si>
  <si>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</si>
  <si>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</si>
  <si>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</si>
  <si>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</si>
  <si>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</si>
  <si>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</si>
  <si>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</si>
  <si>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</si>
  <si>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</si>
  <si>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</si>
  <si>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</si>
  <si>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</si>
  <si>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</si>
  <si>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</si>
  <si>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</si>
  <si>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</si>
  <si>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</si>
  <si>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</si>
  <si>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</si>
  <si>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</si>
  <si>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</si>
  <si>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</si>
  <si>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</si>
  <si>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</si>
  <si>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</si>
  <si>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Y</t>
  </si>
  <si>
    <t>Residuals</t>
  </si>
  <si>
    <t>Er = Rf+(Rm-Rf)*Beta</t>
  </si>
  <si>
    <t>Equity coefficient</t>
  </si>
  <si>
    <t>Er (daily)</t>
  </si>
  <si>
    <t>Two asset portfolio</t>
  </si>
  <si>
    <t>Wipro</t>
  </si>
  <si>
    <t>Ri</t>
  </si>
  <si>
    <t>Security</t>
  </si>
  <si>
    <t>M&amp;M</t>
  </si>
  <si>
    <t>Variance</t>
  </si>
  <si>
    <t>SD</t>
  </si>
  <si>
    <t>Weightage</t>
  </si>
  <si>
    <t>Daily</t>
  </si>
  <si>
    <t>Coefficient of Cor</t>
  </si>
  <si>
    <t>Coefficient of corr</t>
  </si>
  <si>
    <t>Torrent Power</t>
  </si>
  <si>
    <t>Covariance(M&amp;M &amp; Wipro)</t>
  </si>
  <si>
    <t>Covariance (M&amp;M , Torrent)</t>
  </si>
  <si>
    <t>Covariance (Wipro &amp; Torrent)</t>
  </si>
  <si>
    <t>Portfolio Return</t>
  </si>
  <si>
    <t>Portfolio Variance</t>
  </si>
  <si>
    <t>Portfolio Risk</t>
  </si>
  <si>
    <t>Revenue</t>
  </si>
  <si>
    <t>EBIT</t>
  </si>
  <si>
    <t>Interest</t>
  </si>
  <si>
    <t>EBT</t>
  </si>
  <si>
    <t>DOL</t>
  </si>
  <si>
    <t>Contribution/EBIT</t>
  </si>
  <si>
    <t>VC (75%)</t>
  </si>
  <si>
    <t>Contribution</t>
  </si>
  <si>
    <t>DOF</t>
  </si>
  <si>
    <t>EBIT/EBT</t>
  </si>
  <si>
    <t>DTL or DCL</t>
  </si>
  <si>
    <t>Contribution/EBT</t>
  </si>
  <si>
    <t>Adani Power</t>
  </si>
  <si>
    <t>VC (34%)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</si>
</sst>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%"/>
    <numFmt numFmtId="165" formatCode="0.0000%"/>
    <numFmt numFmtId="166" formatCode="0.00000%"/>
    <numFmt numFmtId="167" formatCode="0.000000000"/>
    <numFmt numFmtId="174" formatCode="0.000000"/>
    <numFmt numFmtId="175" formatCode="0.0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22222F"/>
      <name val="Arial"/>
      <family val="2"/>
    </font>
    <font>
      <sz val="11"/>
      <color rgb="FF22222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1" applyNumberFormat="1" applyFont="1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NumberFormat="1"/>
    <xf numFmtId="10" fontId="0" fillId="0" borderId="0" xfId="0" applyNumberFormat="1"/>
    <xf numFmtId="164" fontId="2" fillId="0" borderId="0" xfId="1" applyNumberFormat="1" applyFont="1"/>
    <xf numFmtId="166" fontId="0" fillId="0" borderId="0" xfId="1" applyNumberFormat="1" applyFont="1"/>
    <xf numFmtId="165" fontId="2" fillId="2" borderId="0" xfId="0" applyNumberFormat="1" applyFont="1" applyFill="1"/>
    <xf numFmtId="164" fontId="2" fillId="2" borderId="0" xfId="1" applyNumberFormat="1" applyFont="1" applyFill="1"/>
    <xf numFmtId="165" fontId="2" fillId="2" borderId="0" xfId="1" applyNumberFormat="1" applyFont="1" applyFill="1"/>
    <xf numFmtId="167" fontId="0" fillId="0" borderId="0" xfId="0" applyNumberFormat="1"/>
    <xf numFmtId="0" fontId="0" fillId="0" borderId="1" xfId="0" applyBorder="1"/>
    <xf numFmtId="164" fontId="0" fillId="0" borderId="1" xfId="1" applyNumberFormat="1" applyFont="1" applyBorder="1"/>
    <xf numFmtId="165" fontId="0" fillId="0" borderId="1" xfId="1" applyNumberFormat="1" applyFont="1" applyBorder="1"/>
    <xf numFmtId="0" fontId="3" fillId="0" borderId="0" xfId="0" applyFont="1"/>
    <xf numFmtId="14" fontId="3" fillId="0" borderId="0" xfId="0" applyNumberFormat="1" applyFont="1"/>
    <xf numFmtId="4" fontId="3" fillId="0" borderId="0" xfId="0" applyNumberFormat="1" applyFont="1"/>
    <xf numFmtId="164" fontId="3" fillId="0" borderId="0" xfId="1" applyNumberFormat="1" applyFont="1"/>
    <xf numFmtId="0" fontId="4" fillId="0" borderId="0" xfId="0" applyFont="1"/>
    <xf numFmtId="10" fontId="3" fillId="0" borderId="0" xfId="0" applyNumberFormat="1" applyFont="1"/>
    <xf numFmtId="165" fontId="3" fillId="0" borderId="0" xfId="1" applyNumberFormat="1" applyFont="1"/>
    <xf numFmtId="0" fontId="5" fillId="0" borderId="0" xfId="0" applyFont="1"/>
    <xf numFmtId="0" fontId="6" fillId="0" borderId="3" xfId="0" applyFont="1" applyFill="1" applyBorder="1" applyAlignment="1">
      <alignment horizontal="centerContinuous"/>
    </xf>
    <xf numFmtId="0" fontId="5" fillId="0" borderId="0" xfId="0" applyFont="1" applyFill="1" applyBorder="1" applyAlignment="1"/>
    <xf numFmtId="0" fontId="5" fillId="0" borderId="2" xfId="0" applyFont="1" applyFill="1" applyBorder="1" applyAlignment="1"/>
    <xf numFmtId="0" fontId="6" fillId="0" borderId="3" xfId="0" applyFont="1" applyFill="1" applyBorder="1" applyAlignment="1">
      <alignment horizontal="center"/>
    </xf>
    <xf numFmtId="0" fontId="7" fillId="0" borderId="2" xfId="0" applyFont="1" applyFill="1" applyBorder="1" applyAlignment="1"/>
    <xf numFmtId="0" fontId="5" fillId="2" borderId="0" xfId="0" applyFont="1" applyFill="1" applyBorder="1" applyAlignment="1"/>
    <xf numFmtId="164" fontId="5" fillId="2" borderId="0" xfId="1" applyNumberFormat="1" applyFont="1" applyFill="1" applyBorder="1" applyAlignment="1"/>
    <xf numFmtId="165" fontId="4" fillId="0" borderId="0" xfId="0" applyNumberFormat="1" applyFont="1"/>
    <xf numFmtId="0" fontId="2" fillId="0" borderId="0" xfId="0" applyFont="1"/>
    <xf numFmtId="166" fontId="2" fillId="2" borderId="0" xfId="1" applyNumberFormat="1" applyFont="1" applyFill="1"/>
    <xf numFmtId="0" fontId="0" fillId="0" borderId="4" xfId="0" applyBorder="1" applyAlignment="1">
      <alignment horizontal="center"/>
    </xf>
    <xf numFmtId="0" fontId="0" fillId="0" borderId="0" xfId="0" applyAlignment="1"/>
    <xf numFmtId="0" fontId="2" fillId="0" borderId="1" xfId="0" applyFont="1" applyBorder="1"/>
    <xf numFmtId="174" fontId="0" fillId="0" borderId="0" xfId="0" applyNumberFormat="1"/>
    <xf numFmtId="175" fontId="0" fillId="0" borderId="0" xfId="0" applyNumberFormat="1"/>
    <xf numFmtId="0" fontId="0" fillId="0" borderId="0" xfId="0" applyFill="1" applyBorder="1"/>
    <xf numFmtId="0" fontId="0" fillId="0" borderId="1" xfId="0" applyFill="1" applyBorder="1"/>
    <xf numFmtId="0" fontId="0" fillId="0" borderId="0" xfId="0" applyFill="1" applyBorder="1" applyAlignment="1">
      <alignment wrapText="1"/>
    </xf>
    <xf numFmtId="9" fontId="0" fillId="0" borderId="1" xfId="0" applyNumberFormat="1" applyBorder="1"/>
    <xf numFmtId="0" fontId="0" fillId="0" borderId="1" xfId="0" applyBorder="1" applyAlignment="1">
      <alignment wrapText="1"/>
    </xf>
    <xf numFmtId="165" fontId="2" fillId="2" borderId="1" xfId="1" applyNumberFormat="1" applyFont="1" applyFill="1" applyBorder="1"/>
    <xf numFmtId="164" fontId="2" fillId="2" borderId="1" xfId="1" applyNumberFormat="1" applyFont="1" applyFill="1" applyBorder="1"/>
    <xf numFmtId="3" fontId="0" fillId="0" borderId="0" xfId="0" applyNumberFormat="1"/>
    <xf numFmtId="3" fontId="8" fillId="0" borderId="0" xfId="0" applyNumberFormat="1" applyFont="1"/>
    <xf numFmtId="0" fontId="9" fillId="0" borderId="0" xfId="0" applyFont="1"/>
    <xf numFmtId="3" fontId="9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CAPM!$C$2:$C$248</c:f>
              <c:numCache>
                <c:formatCode>0.000%</c:formatCode>
                <c:ptCount val="247"/>
                <c:pt idx="0">
                  <c:v>-4.7454849169532316E-3</c:v>
                </c:pt>
                <c:pt idx="1">
                  <c:v>5.3402570791968307E-3</c:v>
                </c:pt>
                <c:pt idx="2">
                  <c:v>5.488566143699687E-3</c:v>
                </c:pt>
                <c:pt idx="3">
                  <c:v>-3.9827876272854204E-3</c:v>
                </c:pt>
                <c:pt idx="4">
                  <c:v>3.9827876272855566E-3</c:v>
                </c:pt>
                <c:pt idx="5">
                  <c:v>1.193299130579461E-3</c:v>
                </c:pt>
                <c:pt idx="6">
                  <c:v>1.2945621644613778E-4</c:v>
                </c:pt>
                <c:pt idx="7">
                  <c:v>7.0136944435542489E-3</c:v>
                </c:pt>
                <c:pt idx="8">
                  <c:v>4.7045784684853244E-3</c:v>
                </c:pt>
                <c:pt idx="9">
                  <c:v>3.2134502892125225E-3</c:v>
                </c:pt>
                <c:pt idx="10">
                  <c:v>-6.8232620975946482E-4</c:v>
                </c:pt>
                <c:pt idx="11">
                  <c:v>-3.4417784064369639E-3</c:v>
                </c:pt>
                <c:pt idx="12">
                  <c:v>-6.4523889677539662E-3</c:v>
                </c:pt>
                <c:pt idx="13">
                  <c:v>1.6023948057699113E-3</c:v>
                </c:pt>
                <c:pt idx="14">
                  <c:v>-6.0368458886522298E-3</c:v>
                </c:pt>
                <c:pt idx="15">
                  <c:v>-6.7800786382074861E-3</c:v>
                </c:pt>
                <c:pt idx="16">
                  <c:v>4.5277928328536733E-3</c:v>
                </c:pt>
                <c:pt idx="17">
                  <c:v>-1.1502392783005436E-3</c:v>
                </c:pt>
                <c:pt idx="18">
                  <c:v>6.603425771068816E-3</c:v>
                </c:pt>
                <c:pt idx="19">
                  <c:v>-3.7243774737084727E-3</c:v>
                </c:pt>
                <c:pt idx="20">
                  <c:v>8.8098923781576393E-4</c:v>
                </c:pt>
                <c:pt idx="21">
                  <c:v>9.8430248656327583E-4</c:v>
                </c:pt>
                <c:pt idx="22">
                  <c:v>5.1713885544162376E-3</c:v>
                </c:pt>
                <c:pt idx="23">
                  <c:v>4.8562191462695678E-3</c:v>
                </c:pt>
                <c:pt idx="24">
                  <c:v>1.0283174989422342E-2</c:v>
                </c:pt>
                <c:pt idx="25">
                  <c:v>7.0558387242180077E-3</c:v>
                </c:pt>
                <c:pt idx="26">
                  <c:v>-3.2497693513395339E-3</c:v>
                </c:pt>
                <c:pt idx="27">
                  <c:v>-2.2964531885856635E-3</c:v>
                </c:pt>
                <c:pt idx="28">
                  <c:v>4.1036652680295424E-3</c:v>
                </c:pt>
                <c:pt idx="29">
                  <c:v>5.401388262863396E-3</c:v>
                </c:pt>
                <c:pt idx="30">
                  <c:v>-2.4783456627061593E-3</c:v>
                </c:pt>
                <c:pt idx="31">
                  <c:v>1.2214575517932756E-3</c:v>
                </c:pt>
                <c:pt idx="32">
                  <c:v>7.3401581061951155E-3</c:v>
                </c:pt>
                <c:pt idx="33">
                  <c:v>2.3305604393949906E-3</c:v>
                </c:pt>
                <c:pt idx="34">
                  <c:v>9.1087319879058007E-3</c:v>
                </c:pt>
                <c:pt idx="35">
                  <c:v>-9.6657604081426692E-4</c:v>
                </c:pt>
                <c:pt idx="36">
                  <c:v>-8.0341496238696723E-4</c:v>
                </c:pt>
                <c:pt idx="37">
                  <c:v>-9.5327143727411273E-3</c:v>
                </c:pt>
                <c:pt idx="38">
                  <c:v>-6.6489726459885842E-3</c:v>
                </c:pt>
                <c:pt idx="39">
                  <c:v>-4.48370532782927E-3</c:v>
                </c:pt>
                <c:pt idx="40">
                  <c:v>-1.3043001063899793E-3</c:v>
                </c:pt>
                <c:pt idx="41">
                  <c:v>-4.9357504010677988E-3</c:v>
                </c:pt>
                <c:pt idx="42">
                  <c:v>-3.8048819662613634E-3</c:v>
                </c:pt>
                <c:pt idx="43">
                  <c:v>3.6785428205012871E-3</c:v>
                </c:pt>
                <c:pt idx="44">
                  <c:v>3.6049543335288465E-3</c:v>
                </c:pt>
                <c:pt idx="45">
                  <c:v>6.7543783401827241E-3</c:v>
                </c:pt>
                <c:pt idx="46">
                  <c:v>-1.7854585559052094E-3</c:v>
                </c:pt>
                <c:pt idx="47">
                  <c:v>4.3296588950226811E-3</c:v>
                </c:pt>
                <c:pt idx="48">
                  <c:v>1.2965551071398326E-3</c:v>
                </c:pt>
                <c:pt idx="49">
                  <c:v>4.1932820559463261E-3</c:v>
                </c:pt>
                <c:pt idx="50">
                  <c:v>3.8455581291435849E-3</c:v>
                </c:pt>
                <c:pt idx="51">
                  <c:v>1.2986188601915426E-3</c:v>
                </c:pt>
                <c:pt idx="52">
                  <c:v>2.708422198937796E-4</c:v>
                </c:pt>
                <c:pt idx="53">
                  <c:v>7.7857447964071113E-4</c:v>
                </c:pt>
                <c:pt idx="54">
                  <c:v>5.495539207320317E-3</c:v>
                </c:pt>
                <c:pt idx="55">
                  <c:v>-1.8473869004707994E-3</c:v>
                </c:pt>
                <c:pt idx="56">
                  <c:v>8.0812803848293591E-3</c:v>
                </c:pt>
                <c:pt idx="57">
                  <c:v>-3.0269144417419749E-3</c:v>
                </c:pt>
                <c:pt idx="58">
                  <c:v>-8.5811273528911703E-3</c:v>
                </c:pt>
                <c:pt idx="59">
                  <c:v>-1.0294013179196964E-2</c:v>
                </c:pt>
                <c:pt idx="60">
                  <c:v>3.9187133859900506E-3</c:v>
                </c:pt>
                <c:pt idx="61">
                  <c:v>-8.5539474026356463E-3</c:v>
                </c:pt>
                <c:pt idx="62">
                  <c:v>1.324442740923701E-3</c:v>
                </c:pt>
                <c:pt idx="63">
                  <c:v>2.7942582021172405E-3</c:v>
                </c:pt>
                <c:pt idx="64">
                  <c:v>4.1598532435831309E-3</c:v>
                </c:pt>
                <c:pt idx="65">
                  <c:v>9.9236800312108801E-3</c:v>
                </c:pt>
                <c:pt idx="66">
                  <c:v>4.8527279272500415E-4</c:v>
                </c:pt>
                <c:pt idx="67">
                  <c:v>5.3740195618916181E-3</c:v>
                </c:pt>
                <c:pt idx="68">
                  <c:v>-3.9798350761185517E-3</c:v>
                </c:pt>
                <c:pt idx="69">
                  <c:v>9.0606329752241262E-3</c:v>
                </c:pt>
                <c:pt idx="70">
                  <c:v>-9.5120249782038261E-3</c:v>
                </c:pt>
                <c:pt idx="71">
                  <c:v>8.9281452981572603E-4</c:v>
                </c:pt>
                <c:pt idx="72">
                  <c:v>-3.0615326485490348E-3</c:v>
                </c:pt>
                <c:pt idx="73">
                  <c:v>-2.9652276128395885E-3</c:v>
                </c:pt>
                <c:pt idx="74">
                  <c:v>6.3869589240010231E-3</c:v>
                </c:pt>
                <c:pt idx="75">
                  <c:v>-8.2297150116146193E-3</c:v>
                </c:pt>
                <c:pt idx="76">
                  <c:v>-3.4943227678611022E-3</c:v>
                </c:pt>
                <c:pt idx="77">
                  <c:v>1.3668533203841048E-3</c:v>
                </c:pt>
                <c:pt idx="78">
                  <c:v>5.6644327448940367E-3</c:v>
                </c:pt>
                <c:pt idx="79">
                  <c:v>-6.3048116777717281E-3</c:v>
                </c:pt>
                <c:pt idx="80">
                  <c:v>-9.0222680148949828E-3</c:v>
                </c:pt>
                <c:pt idx="81">
                  <c:v>-6.2766205821811125E-3</c:v>
                </c:pt>
                <c:pt idx="82">
                  <c:v>6.3245027919540961E-3</c:v>
                </c:pt>
                <c:pt idx="83">
                  <c:v>-1.1883969208231818E-3</c:v>
                </c:pt>
                <c:pt idx="84">
                  <c:v>4.8862342043243081E-3</c:v>
                </c:pt>
                <c:pt idx="85">
                  <c:v>-5.7128920738239268E-3</c:v>
                </c:pt>
                <c:pt idx="86">
                  <c:v>-3.9981374112852634E-3</c:v>
                </c:pt>
                <c:pt idx="87">
                  <c:v>6.4474087122986417E-4</c:v>
                </c:pt>
                <c:pt idx="88">
                  <c:v>4.5148958612713751E-3</c:v>
                </c:pt>
                <c:pt idx="89">
                  <c:v>-2.6895142142431107E-3</c:v>
                </c:pt>
                <c:pt idx="90">
                  <c:v>-8.1338768732905544E-3</c:v>
                </c:pt>
                <c:pt idx="91">
                  <c:v>-4.7549485778671007E-3</c:v>
                </c:pt>
                <c:pt idx="92">
                  <c:v>-1.8196582966253595E-3</c:v>
                </c:pt>
                <c:pt idx="93">
                  <c:v>2.4007637482767337E-3</c:v>
                </c:pt>
                <c:pt idx="94">
                  <c:v>1.1782657107136236E-5</c:v>
                </c:pt>
                <c:pt idx="95">
                  <c:v>2.1900559806014813E-3</c:v>
                </c:pt>
                <c:pt idx="96">
                  <c:v>-1.8915156833006601E-3</c:v>
                </c:pt>
                <c:pt idx="97">
                  <c:v>-3.4669964446766102E-3</c:v>
                </c:pt>
                <c:pt idx="98">
                  <c:v>9.6946961940914944E-4</c:v>
                </c:pt>
                <c:pt idx="99">
                  <c:v>-4.7209687553906882E-3</c:v>
                </c:pt>
                <c:pt idx="100">
                  <c:v>3.4696479984903748E-3</c:v>
                </c:pt>
                <c:pt idx="101">
                  <c:v>1.1979963629751521E-2</c:v>
                </c:pt>
                <c:pt idx="102">
                  <c:v>7.969960122065977E-3</c:v>
                </c:pt>
                <c:pt idx="103">
                  <c:v>2.8970604822426802E-3</c:v>
                </c:pt>
                <c:pt idx="104">
                  <c:v>-5.610555346030624E-3</c:v>
                </c:pt>
                <c:pt idx="105">
                  <c:v>1.2790309347901757E-2</c:v>
                </c:pt>
                <c:pt idx="106">
                  <c:v>-7.5798355821293751E-4</c:v>
                </c:pt>
                <c:pt idx="107">
                  <c:v>-1.6651418462635466E-3</c:v>
                </c:pt>
                <c:pt idx="108">
                  <c:v>-3.7389676871053394E-3</c:v>
                </c:pt>
                <c:pt idx="109">
                  <c:v>9.177535114667245E-3</c:v>
                </c:pt>
                <c:pt idx="110">
                  <c:v>-6.8377988828330826E-3</c:v>
                </c:pt>
                <c:pt idx="111">
                  <c:v>-1.0122094193621185E-2</c:v>
                </c:pt>
                <c:pt idx="112">
                  <c:v>1.4787352445249067E-3</c:v>
                </c:pt>
                <c:pt idx="113">
                  <c:v>4.1826462015294284E-5</c:v>
                </c:pt>
                <c:pt idx="114">
                  <c:v>3.9975106246084267E-3</c:v>
                </c:pt>
                <c:pt idx="115">
                  <c:v>1.0135965436883998E-2</c:v>
                </c:pt>
                <c:pt idx="116">
                  <c:v>5.2946077897617046E-3</c:v>
                </c:pt>
                <c:pt idx="117">
                  <c:v>3.1609356156210005E-3</c:v>
                </c:pt>
                <c:pt idx="118">
                  <c:v>-7.0687740923206172E-3</c:v>
                </c:pt>
                <c:pt idx="119">
                  <c:v>-1.3786887661705169E-3</c:v>
                </c:pt>
                <c:pt idx="120">
                  <c:v>-3.3438034717525197E-3</c:v>
                </c:pt>
                <c:pt idx="121">
                  <c:v>3.2731009002705618E-3</c:v>
                </c:pt>
                <c:pt idx="122">
                  <c:v>-2.9750731170425774E-3</c:v>
                </c:pt>
                <c:pt idx="123">
                  <c:v>-7.0222766786781181E-3</c:v>
                </c:pt>
                <c:pt idx="124">
                  <c:v>5.9373187376564407E-3</c:v>
                </c:pt>
                <c:pt idx="125">
                  <c:v>9.8438309105117507E-3</c:v>
                </c:pt>
                <c:pt idx="126">
                  <c:v>-8.2451707060623922E-3</c:v>
                </c:pt>
                <c:pt idx="127">
                  <c:v>5.2346356247726386E-3</c:v>
                </c:pt>
                <c:pt idx="128">
                  <c:v>-1.0540231594245037E-2</c:v>
                </c:pt>
                <c:pt idx="129">
                  <c:v>-2.976070564100508E-3</c:v>
                </c:pt>
                <c:pt idx="130">
                  <c:v>-1.6892334379733957E-3</c:v>
                </c:pt>
                <c:pt idx="131">
                  <c:v>1.5894480888894447E-2</c:v>
                </c:pt>
                <c:pt idx="132">
                  <c:v>3.5962898121936287E-3</c:v>
                </c:pt>
                <c:pt idx="133">
                  <c:v>-1.3993305528556882E-2</c:v>
                </c:pt>
                <c:pt idx="134">
                  <c:v>3.7472171529076455E-2</c:v>
                </c:pt>
                <c:pt idx="135">
                  <c:v>-1.1010471243807775E-2</c:v>
                </c:pt>
                <c:pt idx="136">
                  <c:v>-5.7755427734603581E-3</c:v>
                </c:pt>
                <c:pt idx="137">
                  <c:v>1.4264051276974533E-3</c:v>
                </c:pt>
                <c:pt idx="138">
                  <c:v>-3.3394276617622325E-3</c:v>
                </c:pt>
                <c:pt idx="139">
                  <c:v>4.6898279589179014E-3</c:v>
                </c:pt>
                <c:pt idx="140">
                  <c:v>5.1354844609369319E-4</c:v>
                </c:pt>
                <c:pt idx="141">
                  <c:v>-7.1912661076828911E-5</c:v>
                </c:pt>
                <c:pt idx="142">
                  <c:v>3.0617833174725629E-4</c:v>
                </c:pt>
                <c:pt idx="143">
                  <c:v>1.1956431581801425E-2</c:v>
                </c:pt>
                <c:pt idx="144">
                  <c:v>-8.588454617289994E-3</c:v>
                </c:pt>
                <c:pt idx="145">
                  <c:v>-3.386473618159028E-3</c:v>
                </c:pt>
                <c:pt idx="146">
                  <c:v>6.6685884351257562E-3</c:v>
                </c:pt>
                <c:pt idx="147">
                  <c:v>1.726965939596701E-3</c:v>
                </c:pt>
                <c:pt idx="148">
                  <c:v>1.1418047561345738E-2</c:v>
                </c:pt>
                <c:pt idx="149">
                  <c:v>1.7528893682587383E-2</c:v>
                </c:pt>
                <c:pt idx="150">
                  <c:v>4.6465712828317922E-3</c:v>
                </c:pt>
                <c:pt idx="151">
                  <c:v>2.16659867627985E-2</c:v>
                </c:pt>
                <c:pt idx="152">
                  <c:v>1.8988933890639957E-2</c:v>
                </c:pt>
                <c:pt idx="153">
                  <c:v>-6.0843628224417504E-3</c:v>
                </c:pt>
                <c:pt idx="154">
                  <c:v>1.6746313096183522E-2</c:v>
                </c:pt>
                <c:pt idx="155">
                  <c:v>-3.2970153387305259E-2</c:v>
                </c:pt>
                <c:pt idx="156">
                  <c:v>-1.4978218273382259E-2</c:v>
                </c:pt>
                <c:pt idx="157">
                  <c:v>-3.5313765366867989E-3</c:v>
                </c:pt>
                <c:pt idx="158">
                  <c:v>7.1680732227189349E-3</c:v>
                </c:pt>
                <c:pt idx="159">
                  <c:v>-1.5150750180769317E-2</c:v>
                </c:pt>
                <c:pt idx="160">
                  <c:v>-3.0820655541120134E-3</c:v>
                </c:pt>
                <c:pt idx="161">
                  <c:v>4.4648620864278519E-3</c:v>
                </c:pt>
                <c:pt idx="162">
                  <c:v>-7.710697617041672E-3</c:v>
                </c:pt>
                <c:pt idx="163">
                  <c:v>4.3526951476421065E-4</c:v>
                </c:pt>
                <c:pt idx="164">
                  <c:v>1.310200357491904E-2</c:v>
                </c:pt>
                <c:pt idx="165">
                  <c:v>6.8649343915537933E-3</c:v>
                </c:pt>
                <c:pt idx="166">
                  <c:v>1.228044696739064E-2</c:v>
                </c:pt>
                <c:pt idx="167">
                  <c:v>3.2049417598595076E-3</c:v>
                </c:pt>
                <c:pt idx="168">
                  <c:v>1.4359668968781786E-2</c:v>
                </c:pt>
                <c:pt idx="169">
                  <c:v>4.9681714537350846E-3</c:v>
                </c:pt>
                <c:pt idx="170">
                  <c:v>-3.2673867932358361E-3</c:v>
                </c:pt>
                <c:pt idx="171">
                  <c:v>-1.2186336801356743E-3</c:v>
                </c:pt>
                <c:pt idx="172">
                  <c:v>1.6726652208703832E-3</c:v>
                </c:pt>
                <c:pt idx="173">
                  <c:v>-4.0966182483126905E-3</c:v>
                </c:pt>
                <c:pt idx="174">
                  <c:v>3.4591948403792664E-4</c:v>
                </c:pt>
                <c:pt idx="175">
                  <c:v>9.2420781725971422E-3</c:v>
                </c:pt>
                <c:pt idx="176">
                  <c:v>1.1465694568782813E-2</c:v>
                </c:pt>
                <c:pt idx="177">
                  <c:v>-1.6582982605433554E-3</c:v>
                </c:pt>
                <c:pt idx="178">
                  <c:v>-2.4410089624874701E-4</c:v>
                </c:pt>
                <c:pt idx="179">
                  <c:v>-1.8820898177206152E-2</c:v>
                </c:pt>
                <c:pt idx="180">
                  <c:v>-1.108829387776427E-4</c:v>
                </c:pt>
                <c:pt idx="181">
                  <c:v>-2.5720107722782741E-4</c:v>
                </c:pt>
                <c:pt idx="182">
                  <c:v>-1.069708155537406E-2</c:v>
                </c:pt>
                <c:pt idx="183">
                  <c:v>-5.1302863291465021E-3</c:v>
                </c:pt>
                <c:pt idx="184">
                  <c:v>-8.615791860687675E-4</c:v>
                </c:pt>
                <c:pt idx="185">
                  <c:v>-5.4056176144420191E-4</c:v>
                </c:pt>
                <c:pt idx="186">
                  <c:v>-6.1867170548291742E-4</c:v>
                </c:pt>
                <c:pt idx="187">
                  <c:v>1.318406118349223E-3</c:v>
                </c:pt>
                <c:pt idx="188">
                  <c:v>-4.4451141660866375E-3</c:v>
                </c:pt>
                <c:pt idx="189">
                  <c:v>-6.0117219533637628E-4</c:v>
                </c:pt>
                <c:pt idx="190">
                  <c:v>-1.1514180951839536E-3</c:v>
                </c:pt>
                <c:pt idx="191">
                  <c:v>-1.3338295712820561E-2</c:v>
                </c:pt>
                <c:pt idx="192">
                  <c:v>-7.598848278210316E-3</c:v>
                </c:pt>
                <c:pt idx="193">
                  <c:v>-1.8404145702315485E-3</c:v>
                </c:pt>
                <c:pt idx="194">
                  <c:v>-3.9302666996406553E-3</c:v>
                </c:pt>
                <c:pt idx="195">
                  <c:v>-1.8108786231885072E-3</c:v>
                </c:pt>
                <c:pt idx="196">
                  <c:v>1.6059690853104273E-2</c:v>
                </c:pt>
                <c:pt idx="197">
                  <c:v>-5.1704524791751734E-3</c:v>
                </c:pt>
                <c:pt idx="198">
                  <c:v>-1.1172460305538994E-3</c:v>
                </c:pt>
                <c:pt idx="199">
                  <c:v>1.1074177663955638E-2</c:v>
                </c:pt>
                <c:pt idx="200">
                  <c:v>3.7231312102430775E-3</c:v>
                </c:pt>
                <c:pt idx="201">
                  <c:v>8.9267044567532539E-3</c:v>
                </c:pt>
                <c:pt idx="202">
                  <c:v>5.5955626228530505E-3</c:v>
                </c:pt>
                <c:pt idx="203">
                  <c:v>-1.1456670033394137E-2</c:v>
                </c:pt>
                <c:pt idx="204">
                  <c:v>-4.8879573663295961E-3</c:v>
                </c:pt>
                <c:pt idx="205">
                  <c:v>2.1570001913706685E-3</c:v>
                </c:pt>
                <c:pt idx="206">
                  <c:v>5.6604741870661156E-3</c:v>
                </c:pt>
                <c:pt idx="207">
                  <c:v>-1.3806738277095545E-2</c:v>
                </c:pt>
                <c:pt idx="208">
                  <c:v>6.0819192391741118E-3</c:v>
                </c:pt>
                <c:pt idx="209">
                  <c:v>-4.6694699484325849E-3</c:v>
                </c:pt>
                <c:pt idx="210">
                  <c:v>4.2385877535739327E-3</c:v>
                </c:pt>
                <c:pt idx="211">
                  <c:v>1.6016645210618786E-3</c:v>
                </c:pt>
                <c:pt idx="212">
                  <c:v>3.8952104933376291E-3</c:v>
                </c:pt>
                <c:pt idx="213">
                  <c:v>-1.4857063581440453E-2</c:v>
                </c:pt>
                <c:pt idx="214">
                  <c:v>-4.0461744370668276E-3</c:v>
                </c:pt>
                <c:pt idx="215">
                  <c:v>-6.8812492953755225E-3</c:v>
                </c:pt>
                <c:pt idx="216">
                  <c:v>-7.9963124172743882E-4</c:v>
                </c:pt>
                <c:pt idx="217">
                  <c:v>3.8817603067130878E-3</c:v>
                </c:pt>
                <c:pt idx="218">
                  <c:v>-1.6325161807199819E-2</c:v>
                </c:pt>
                <c:pt idx="219">
                  <c:v>-7.6317874477081537E-3</c:v>
                </c:pt>
                <c:pt idx="220">
                  <c:v>1.8599976460843735E-2</c:v>
                </c:pt>
                <c:pt idx="221">
                  <c:v>4.1403208063656048E-3</c:v>
                </c:pt>
                <c:pt idx="222">
                  <c:v>-4.229250767129392E-6</c:v>
                </c:pt>
                <c:pt idx="223">
                  <c:v>-7.1010005853283714E-3</c:v>
                </c:pt>
                <c:pt idx="224">
                  <c:v>2.6574959504618452E-3</c:v>
                </c:pt>
                <c:pt idx="225">
                  <c:v>9.4991671677012402E-4</c:v>
                </c:pt>
                <c:pt idx="226">
                  <c:v>-1.0867483078192092E-3</c:v>
                </c:pt>
                <c:pt idx="227">
                  <c:v>7.0108723942055237E-3</c:v>
                </c:pt>
                <c:pt idx="228">
                  <c:v>-1.5322391854064712E-2</c:v>
                </c:pt>
                <c:pt idx="229">
                  <c:v>-1.0265808823608006E-2</c:v>
                </c:pt>
                <c:pt idx="230">
                  <c:v>-5.6516241445957781E-3</c:v>
                </c:pt>
                <c:pt idx="231">
                  <c:v>-1.3560256148274351E-2</c:v>
                </c:pt>
                <c:pt idx="232">
                  <c:v>-4.0476180718514044E-3</c:v>
                </c:pt>
                <c:pt idx="233">
                  <c:v>8.9057100554239786E-3</c:v>
                </c:pt>
                <c:pt idx="234">
                  <c:v>-3.7852882635684751E-3</c:v>
                </c:pt>
                <c:pt idx="235">
                  <c:v>1.2892918498735822E-3</c:v>
                </c:pt>
                <c:pt idx="236">
                  <c:v>-3.6360645182499104E-4</c:v>
                </c:pt>
                <c:pt idx="237">
                  <c:v>-2.3855515118706054E-3</c:v>
                </c:pt>
                <c:pt idx="238">
                  <c:v>-1.2392127321359235E-3</c:v>
                </c:pt>
                <c:pt idx="239">
                  <c:v>9.7996040025433873E-3</c:v>
                </c:pt>
                <c:pt idx="240">
                  <c:v>4.2105608026115151E-4</c:v>
                </c:pt>
                <c:pt idx="241">
                  <c:v>7.4323390894845123E-3</c:v>
                </c:pt>
                <c:pt idx="242">
                  <c:v>5.988802614002176E-3</c:v>
                </c:pt>
                <c:pt idx="243">
                  <c:v>9.0311310507838367E-3</c:v>
                </c:pt>
                <c:pt idx="244">
                  <c:v>-1.4972560750343969E-2</c:v>
                </c:pt>
                <c:pt idx="245">
                  <c:v>3.3175600994260466E-3</c:v>
                </c:pt>
                <c:pt idx="246">
                  <c:v>-1.1318480070857482E-3</c:v>
                </c:pt>
              </c:numCache>
            </c:numRef>
          </c:xVal>
          <c:yVal>
            <c:numRef>
              <c:f>CAPM!$D$2:$D$248</c:f>
              <c:numCache>
                <c:formatCode>0.00%</c:formatCode>
                <c:ptCount val="247"/>
                <c:pt idx="0">
                  <c:v>8.8129898186936079E-3</c:v>
                </c:pt>
                <c:pt idx="1">
                  <c:v>-1.5593077683612132E-3</c:v>
                </c:pt>
                <c:pt idx="2">
                  <c:v>7.4690598397089986E-3</c:v>
                </c:pt>
                <c:pt idx="3">
                  <c:v>-1.0794618728325581E-2</c:v>
                </c:pt>
                <c:pt idx="4">
                  <c:v>9.7666747960045083E-3</c:v>
                </c:pt>
                <c:pt idx="5">
                  <c:v>-2.4330571482942276E-4</c:v>
                </c:pt>
                <c:pt idx="6">
                  <c:v>-1.470417434542628E-2</c:v>
                </c:pt>
                <c:pt idx="7">
                  <c:v>1.3860385511842454E-3</c:v>
                </c:pt>
                <c:pt idx="8">
                  <c:v>2.2987657314695008E-2</c:v>
                </c:pt>
                <c:pt idx="9">
                  <c:v>-7.152503262629388E-3</c:v>
                </c:pt>
                <c:pt idx="10">
                  <c:v>1.9621081801599636E-2</c:v>
                </c:pt>
                <c:pt idx="11">
                  <c:v>1.0361635546181585E-2</c:v>
                </c:pt>
                <c:pt idx="12">
                  <c:v>9.0602434617359229E-3</c:v>
                </c:pt>
                <c:pt idx="13">
                  <c:v>1.7538574374082128E-2</c:v>
                </c:pt>
                <c:pt idx="14">
                  <c:v>-4.2636666252898617E-3</c:v>
                </c:pt>
                <c:pt idx="15">
                  <c:v>-9.2656415504890344E-3</c:v>
                </c:pt>
                <c:pt idx="16">
                  <c:v>-1.2482942041305137E-2</c:v>
                </c:pt>
                <c:pt idx="17">
                  <c:v>-9.0395152920572808E-3</c:v>
                </c:pt>
                <c:pt idx="18">
                  <c:v>-3.7034008554510693E-3</c:v>
                </c:pt>
                <c:pt idx="19">
                  <c:v>3.8628149364248489E-4</c:v>
                </c:pt>
                <c:pt idx="20">
                  <c:v>6.6254419384736832E-4</c:v>
                </c:pt>
                <c:pt idx="21">
                  <c:v>6.121648412293298E-3</c:v>
                </c:pt>
                <c:pt idx="22">
                  <c:v>-1.3275935710239554E-2</c:v>
                </c:pt>
                <c:pt idx="23">
                  <c:v>2.3974511197587083E-2</c:v>
                </c:pt>
                <c:pt idx="24">
                  <c:v>1.8022590394908718E-2</c:v>
                </c:pt>
                <c:pt idx="25">
                  <c:v>1.0751864393858846E-2</c:v>
                </c:pt>
                <c:pt idx="26">
                  <c:v>2.8903822532644718E-5</c:v>
                </c:pt>
                <c:pt idx="27">
                  <c:v>1.3883668675048373E-3</c:v>
                </c:pt>
                <c:pt idx="28">
                  <c:v>3.4793737441037153E-3</c:v>
                </c:pt>
                <c:pt idx="29">
                  <c:v>4.7748074528573461E-3</c:v>
                </c:pt>
                <c:pt idx="30">
                  <c:v>-1.9164374769801078E-2</c:v>
                </c:pt>
                <c:pt idx="31">
                  <c:v>5.9729100154386674E-3</c:v>
                </c:pt>
                <c:pt idx="32">
                  <c:v>2.8843400440861284E-3</c:v>
                </c:pt>
                <c:pt idx="33">
                  <c:v>-4.0430878189591388E-4</c:v>
                </c:pt>
                <c:pt idx="34">
                  <c:v>1.0565522643441657E-2</c:v>
                </c:pt>
                <c:pt idx="35">
                  <c:v>2.6004017516810711E-3</c:v>
                </c:pt>
                <c:pt idx="36">
                  <c:v>6.3393514915713279E-3</c:v>
                </c:pt>
                <c:pt idx="37">
                  <c:v>-3.8552381295985781E-2</c:v>
                </c:pt>
                <c:pt idx="38">
                  <c:v>-1.2639332781569061E-2</c:v>
                </c:pt>
                <c:pt idx="39">
                  <c:v>-1.1043995692626613E-2</c:v>
                </c:pt>
                <c:pt idx="40">
                  <c:v>8.278514929604984E-3</c:v>
                </c:pt>
                <c:pt idx="41">
                  <c:v>-2.0343052062937357E-3</c:v>
                </c:pt>
                <c:pt idx="42">
                  <c:v>-1.3850904983492266E-2</c:v>
                </c:pt>
                <c:pt idx="43">
                  <c:v>2.4740920336608547E-3</c:v>
                </c:pt>
                <c:pt idx="44">
                  <c:v>6.9602004455440762E-3</c:v>
                </c:pt>
                <c:pt idx="45">
                  <c:v>2.1770749030569241E-2</c:v>
                </c:pt>
                <c:pt idx="46">
                  <c:v>-1.6741493789214197E-2</c:v>
                </c:pt>
                <c:pt idx="47">
                  <c:v>-1.614340141285831E-3</c:v>
                </c:pt>
                <c:pt idx="48">
                  <c:v>-2.4166342784371943E-3</c:v>
                </c:pt>
                <c:pt idx="49">
                  <c:v>-2.5176997937850054E-2</c:v>
                </c:pt>
                <c:pt idx="50">
                  <c:v>-1.378807144915669E-3</c:v>
                </c:pt>
                <c:pt idx="51">
                  <c:v>3.8585479716050024E-2</c:v>
                </c:pt>
                <c:pt idx="52">
                  <c:v>2.2662411344996622E-2</c:v>
                </c:pt>
                <c:pt idx="53">
                  <c:v>5.7792215785388068E-2</c:v>
                </c:pt>
                <c:pt idx="54">
                  <c:v>1.5796663113173195E-2</c:v>
                </c:pt>
                <c:pt idx="55">
                  <c:v>-2.470392350672555E-2</c:v>
                </c:pt>
                <c:pt idx="56">
                  <c:v>3.5583732411250679E-2</c:v>
                </c:pt>
                <c:pt idx="57">
                  <c:v>-2.9502663253533599E-2</c:v>
                </c:pt>
                <c:pt idx="58">
                  <c:v>-1.0715304528615792E-2</c:v>
                </c:pt>
                <c:pt idx="59">
                  <c:v>-2.0239334483892771E-2</c:v>
                </c:pt>
                <c:pt idx="60">
                  <c:v>-1.205545655348559E-3</c:v>
                </c:pt>
                <c:pt idx="61">
                  <c:v>8.2324420035947126E-3</c:v>
                </c:pt>
                <c:pt idx="62">
                  <c:v>-6.0555223665017385E-3</c:v>
                </c:pt>
                <c:pt idx="63">
                  <c:v>1.2326812480658462E-2</c:v>
                </c:pt>
                <c:pt idx="64">
                  <c:v>-8.6387855231975456E-3</c:v>
                </c:pt>
                <c:pt idx="65">
                  <c:v>3.5410182214287558E-2</c:v>
                </c:pt>
                <c:pt idx="66">
                  <c:v>-5.1316625534633805E-3</c:v>
                </c:pt>
                <c:pt idx="67">
                  <c:v>1.4021430259962473E-2</c:v>
                </c:pt>
                <c:pt idx="68">
                  <c:v>1.5663514846770459E-2</c:v>
                </c:pt>
                <c:pt idx="69">
                  <c:v>1.3269498381380996E-2</c:v>
                </c:pt>
                <c:pt idx="70">
                  <c:v>-2.105407179329162E-2</c:v>
                </c:pt>
                <c:pt idx="71">
                  <c:v>-5.0942861700923889E-3</c:v>
                </c:pt>
                <c:pt idx="72">
                  <c:v>4.751783092000827E-3</c:v>
                </c:pt>
                <c:pt idx="73">
                  <c:v>3.7427527940225237E-3</c:v>
                </c:pt>
                <c:pt idx="74">
                  <c:v>1.2862823780112886E-2</c:v>
                </c:pt>
                <c:pt idx="75">
                  <c:v>-1.3768606797705111E-2</c:v>
                </c:pt>
                <c:pt idx="76">
                  <c:v>-1.8091084160601122E-3</c:v>
                </c:pt>
                <c:pt idx="77">
                  <c:v>2.9649070609311574E-3</c:v>
                </c:pt>
                <c:pt idx="78">
                  <c:v>-3.2453376795605151E-3</c:v>
                </c:pt>
                <c:pt idx="79">
                  <c:v>-1.1338060184494467E-2</c:v>
                </c:pt>
                <c:pt idx="80">
                  <c:v>-4.4565408075254997E-3</c:v>
                </c:pt>
                <c:pt idx="81">
                  <c:v>-2.4197141842818306E-3</c:v>
                </c:pt>
                <c:pt idx="82">
                  <c:v>3.555014470381489E-3</c:v>
                </c:pt>
                <c:pt idx="83">
                  <c:v>3.2288347367580511E-3</c:v>
                </c:pt>
                <c:pt idx="84">
                  <c:v>1.6866110854364208E-2</c:v>
                </c:pt>
                <c:pt idx="85">
                  <c:v>-8.1410280978137697E-4</c:v>
                </c:pt>
                <c:pt idx="86">
                  <c:v>-4.6937339514628774E-4</c:v>
                </c:pt>
                <c:pt idx="87">
                  <c:v>2.147084107911159E-2</c:v>
                </c:pt>
                <c:pt idx="88">
                  <c:v>1.1735148416813175E-2</c:v>
                </c:pt>
                <c:pt idx="89">
                  <c:v>6.1311077173769038E-3</c:v>
                </c:pt>
                <c:pt idx="90">
                  <c:v>-2.8611868988995946E-2</c:v>
                </c:pt>
                <c:pt idx="91">
                  <c:v>-4.3857643619204271E-3</c:v>
                </c:pt>
                <c:pt idx="92">
                  <c:v>5.8097476413211573E-3</c:v>
                </c:pt>
                <c:pt idx="93">
                  <c:v>-7.2806701432350895E-4</c:v>
                </c:pt>
                <c:pt idx="94">
                  <c:v>-7.2753731837708999E-4</c:v>
                </c:pt>
                <c:pt idx="95">
                  <c:v>-3.7557840547780136E-3</c:v>
                </c:pt>
                <c:pt idx="96">
                  <c:v>2.9023933555154999E-3</c:v>
                </c:pt>
                <c:pt idx="97">
                  <c:v>-3.4377842824054781E-3</c:v>
                </c:pt>
                <c:pt idx="98">
                  <c:v>-2.2329510952751185E-3</c:v>
                </c:pt>
                <c:pt idx="99">
                  <c:v>-6.2945483021054896E-3</c:v>
                </c:pt>
                <c:pt idx="100">
                  <c:v>-3.894631895486997E-3</c:v>
                </c:pt>
                <c:pt idx="101">
                  <c:v>9.3293735393468657E-5</c:v>
                </c:pt>
                <c:pt idx="102">
                  <c:v>2.054866822738776E-2</c:v>
                </c:pt>
                <c:pt idx="103">
                  <c:v>4.8050242805089691E-3</c:v>
                </c:pt>
                <c:pt idx="104">
                  <c:v>-1.5634714147402102E-2</c:v>
                </c:pt>
                <c:pt idx="105">
                  <c:v>2.8540604539123701E-2</c:v>
                </c:pt>
                <c:pt idx="106">
                  <c:v>1.7503991618835917E-2</c:v>
                </c:pt>
                <c:pt idx="107">
                  <c:v>1.1209878806495507E-2</c:v>
                </c:pt>
                <c:pt idx="108">
                  <c:v>-5.438761168053436E-3</c:v>
                </c:pt>
                <c:pt idx="109">
                  <c:v>5.8378831051017722E-3</c:v>
                </c:pt>
                <c:pt idx="110">
                  <c:v>-4.3816043013659512E-3</c:v>
                </c:pt>
                <c:pt idx="111">
                  <c:v>-2.0164948258073214E-2</c:v>
                </c:pt>
                <c:pt idx="112">
                  <c:v>4.2939462872923877E-3</c:v>
                </c:pt>
                <c:pt idx="113">
                  <c:v>-6.4664151626744985E-3</c:v>
                </c:pt>
                <c:pt idx="114">
                  <c:v>-6.1673777560076332E-3</c:v>
                </c:pt>
                <c:pt idx="115">
                  <c:v>2.111299776958396E-2</c:v>
                </c:pt>
                <c:pt idx="116">
                  <c:v>-3.8720310886773287E-3</c:v>
                </c:pt>
                <c:pt idx="117">
                  <c:v>2.2623331342930203E-3</c:v>
                </c:pt>
                <c:pt idx="118">
                  <c:v>6.7848228129453675E-3</c:v>
                </c:pt>
                <c:pt idx="119">
                  <c:v>1.6359669843190861E-2</c:v>
                </c:pt>
                <c:pt idx="120">
                  <c:v>-1.075889959763247E-2</c:v>
                </c:pt>
                <c:pt idx="121">
                  <c:v>3.7291113335498538E-3</c:v>
                </c:pt>
                <c:pt idx="122">
                  <c:v>-1.3913037465865424E-2</c:v>
                </c:pt>
                <c:pt idx="123">
                  <c:v>-1.3202806162004196E-2</c:v>
                </c:pt>
                <c:pt idx="124">
                  <c:v>2.2157843287682208E-2</c:v>
                </c:pt>
                <c:pt idx="125">
                  <c:v>2.1265999042899648E-3</c:v>
                </c:pt>
                <c:pt idx="126">
                  <c:v>-2.7687515720545917E-2</c:v>
                </c:pt>
                <c:pt idx="127">
                  <c:v>8.8395492872296311E-3</c:v>
                </c:pt>
                <c:pt idx="128">
                  <c:v>-2.0835769499492486E-2</c:v>
                </c:pt>
                <c:pt idx="129">
                  <c:v>-2.4267206493654284E-3</c:v>
                </c:pt>
                <c:pt idx="130">
                  <c:v>-2.7707465296743683E-3</c:v>
                </c:pt>
                <c:pt idx="131">
                  <c:v>1.360870171888897E-2</c:v>
                </c:pt>
                <c:pt idx="132">
                  <c:v>1.5595871375941124E-2</c:v>
                </c:pt>
                <c:pt idx="133">
                  <c:v>-1.6530375592825632E-2</c:v>
                </c:pt>
                <c:pt idx="134">
                  <c:v>4.0289342039246737E-2</c:v>
                </c:pt>
                <c:pt idx="135">
                  <c:v>-1.695744849818661E-2</c:v>
                </c:pt>
                <c:pt idx="136">
                  <c:v>-2.8215751206646485E-2</c:v>
                </c:pt>
                <c:pt idx="137">
                  <c:v>1.6644696922682098E-2</c:v>
                </c:pt>
                <c:pt idx="138">
                  <c:v>1.5402856283528006E-2</c:v>
                </c:pt>
                <c:pt idx="139">
                  <c:v>3.2048743857551271E-2</c:v>
                </c:pt>
                <c:pt idx="140">
                  <c:v>-8.8812986196462097E-4</c:v>
                </c:pt>
                <c:pt idx="141">
                  <c:v>6.5771681332472895E-3</c:v>
                </c:pt>
                <c:pt idx="142">
                  <c:v>-7.1915655311454553E-3</c:v>
                </c:pt>
                <c:pt idx="143">
                  <c:v>2.2918101159322499E-2</c:v>
                </c:pt>
                <c:pt idx="144">
                  <c:v>-1.2904300060199667E-2</c:v>
                </c:pt>
                <c:pt idx="145">
                  <c:v>-5.6365285329933587E-3</c:v>
                </c:pt>
                <c:pt idx="146">
                  <c:v>3.5121920633945099E-2</c:v>
                </c:pt>
                <c:pt idx="147">
                  <c:v>1.9029081116289544E-2</c:v>
                </c:pt>
                <c:pt idx="148">
                  <c:v>3.1086017044674959E-2</c:v>
                </c:pt>
                <c:pt idx="149">
                  <c:v>1.6861521047158826E-2</c:v>
                </c:pt>
                <c:pt idx="150">
                  <c:v>-4.3176978791742964E-3</c:v>
                </c:pt>
                <c:pt idx="151">
                  <c:v>2.51240170453477E-2</c:v>
                </c:pt>
                <c:pt idx="152">
                  <c:v>2.2436744419219088E-2</c:v>
                </c:pt>
                <c:pt idx="153">
                  <c:v>-2.1796205565072208E-4</c:v>
                </c:pt>
                <c:pt idx="154">
                  <c:v>1.2921673738980509E-2</c:v>
                </c:pt>
                <c:pt idx="155">
                  <c:v>-4.1399048263661926E-2</c:v>
                </c:pt>
                <c:pt idx="156">
                  <c:v>-5.7219818177726709E-3</c:v>
                </c:pt>
                <c:pt idx="157">
                  <c:v>-9.9448333421663353E-3</c:v>
                </c:pt>
                <c:pt idx="158">
                  <c:v>-1.3269010246077574E-4</c:v>
                </c:pt>
                <c:pt idx="159">
                  <c:v>-1.0521054116851711E-2</c:v>
                </c:pt>
                <c:pt idx="160">
                  <c:v>-2.4895706758150098E-2</c:v>
                </c:pt>
                <c:pt idx="161">
                  <c:v>-3.3788443633754736E-3</c:v>
                </c:pt>
                <c:pt idx="162">
                  <c:v>2.2817515490024987E-3</c:v>
                </c:pt>
                <c:pt idx="163">
                  <c:v>-1.4045633485882891E-2</c:v>
                </c:pt>
                <c:pt idx="164">
                  <c:v>-9.7372800450976887E-3</c:v>
                </c:pt>
                <c:pt idx="165">
                  <c:v>-9.3251947967925644E-3</c:v>
                </c:pt>
                <c:pt idx="166">
                  <c:v>1.3886144940292467E-2</c:v>
                </c:pt>
                <c:pt idx="167">
                  <c:v>-8.2429894462209593E-4</c:v>
                </c:pt>
                <c:pt idx="168">
                  <c:v>3.1385898466350648E-2</c:v>
                </c:pt>
                <c:pt idx="169">
                  <c:v>2.3053566932688337E-2</c:v>
                </c:pt>
                <c:pt idx="170">
                  <c:v>-3.7003516018310153E-3</c:v>
                </c:pt>
                <c:pt idx="171">
                  <c:v>2.9062656097530058E-3</c:v>
                </c:pt>
                <c:pt idx="172">
                  <c:v>-2.1316389936402707E-2</c:v>
                </c:pt>
                <c:pt idx="173">
                  <c:v>-9.2994805103745366E-3</c:v>
                </c:pt>
                <c:pt idx="174">
                  <c:v>-5.3196962891005305E-3</c:v>
                </c:pt>
                <c:pt idx="175">
                  <c:v>5.7780376514314016E-3</c:v>
                </c:pt>
                <c:pt idx="176">
                  <c:v>4.2422488545001628E-2</c:v>
                </c:pt>
                <c:pt idx="177">
                  <c:v>5.5499738279277003E-4</c:v>
                </c:pt>
                <c:pt idx="178">
                  <c:v>1.0313733910404086E-2</c:v>
                </c:pt>
                <c:pt idx="179">
                  <c:v>-5.3272881813386692E-2</c:v>
                </c:pt>
                <c:pt idx="180">
                  <c:v>-1.8640173448906703E-2</c:v>
                </c:pt>
                <c:pt idx="181">
                  <c:v>2.5023858835375622E-2</c:v>
                </c:pt>
                <c:pt idx="182">
                  <c:v>1.4818391277050246E-2</c:v>
                </c:pt>
                <c:pt idx="183">
                  <c:v>-6.1775374364821133E-2</c:v>
                </c:pt>
                <c:pt idx="184">
                  <c:v>2.9322164690990957E-2</c:v>
                </c:pt>
                <c:pt idx="185">
                  <c:v>-1.1771310064254286E-2</c:v>
                </c:pt>
                <c:pt idx="186">
                  <c:v>-1.4906003488737919E-2</c:v>
                </c:pt>
                <c:pt idx="187">
                  <c:v>-3.8328023973325791E-2</c:v>
                </c:pt>
                <c:pt idx="188">
                  <c:v>-1.1958389980107708E-2</c:v>
                </c:pt>
                <c:pt idx="189">
                  <c:v>-3.084559543503832E-3</c:v>
                </c:pt>
                <c:pt idx="190">
                  <c:v>-3.2523057800891167E-2</c:v>
                </c:pt>
                <c:pt idx="191">
                  <c:v>-1.6487068402068233E-2</c:v>
                </c:pt>
                <c:pt idx="192">
                  <c:v>-1.9319697449935069E-2</c:v>
                </c:pt>
                <c:pt idx="193">
                  <c:v>1.845944123171395E-2</c:v>
                </c:pt>
                <c:pt idx="194">
                  <c:v>-1.2281161527690666E-2</c:v>
                </c:pt>
                <c:pt idx="195">
                  <c:v>-3.235029047021401E-3</c:v>
                </c:pt>
                <c:pt idx="196">
                  <c:v>4.951010922899607E-3</c:v>
                </c:pt>
                <c:pt idx="197">
                  <c:v>3.089821080800511E-2</c:v>
                </c:pt>
                <c:pt idx="198">
                  <c:v>2.8650626150211429E-2</c:v>
                </c:pt>
                <c:pt idx="199">
                  <c:v>6.1731697556800993E-3</c:v>
                </c:pt>
                <c:pt idx="200">
                  <c:v>1.5977815397836388E-2</c:v>
                </c:pt>
                <c:pt idx="201">
                  <c:v>1.8551166611438144E-2</c:v>
                </c:pt>
                <c:pt idx="202">
                  <c:v>1.3679144237245722E-2</c:v>
                </c:pt>
                <c:pt idx="203">
                  <c:v>1.0722630695087757E-2</c:v>
                </c:pt>
                <c:pt idx="204">
                  <c:v>-2.990808112973125E-2</c:v>
                </c:pt>
                <c:pt idx="205">
                  <c:v>2.1005866098068537E-2</c:v>
                </c:pt>
                <c:pt idx="206">
                  <c:v>1.823735621234353E-3</c:v>
                </c:pt>
                <c:pt idx="207">
                  <c:v>-2.340107483665569E-2</c:v>
                </c:pt>
                <c:pt idx="208">
                  <c:v>-1.0076823505193473E-2</c:v>
                </c:pt>
                <c:pt idx="209">
                  <c:v>-2.1448952557468367E-2</c:v>
                </c:pt>
                <c:pt idx="210">
                  <c:v>6.8508983036261427E-3</c:v>
                </c:pt>
                <c:pt idx="211">
                  <c:v>-2.9703918525444826E-2</c:v>
                </c:pt>
                <c:pt idx="212">
                  <c:v>1.6482027559015823E-2</c:v>
                </c:pt>
                <c:pt idx="213">
                  <c:v>-3.0597380726338334E-2</c:v>
                </c:pt>
                <c:pt idx="214">
                  <c:v>-1.0821172103519046E-2</c:v>
                </c:pt>
                <c:pt idx="215">
                  <c:v>1.3006010202258627E-2</c:v>
                </c:pt>
                <c:pt idx="216">
                  <c:v>-7.3447250649677767E-3</c:v>
                </c:pt>
                <c:pt idx="217">
                  <c:v>1.0137500767612572E-3</c:v>
                </c:pt>
                <c:pt idx="218">
                  <c:v>-2.6954182917143351E-2</c:v>
                </c:pt>
                <c:pt idx="219">
                  <c:v>-6.4202418402612036E-3</c:v>
                </c:pt>
                <c:pt idx="220">
                  <c:v>4.1034820670644151E-2</c:v>
                </c:pt>
                <c:pt idx="221">
                  <c:v>2.460257770787723E-2</c:v>
                </c:pt>
                <c:pt idx="222">
                  <c:v>1.3976707766119971E-3</c:v>
                </c:pt>
                <c:pt idx="223">
                  <c:v>-1.5382758076007837E-2</c:v>
                </c:pt>
                <c:pt idx="224">
                  <c:v>2.4498743961786359E-2</c:v>
                </c:pt>
                <c:pt idx="225">
                  <c:v>1.5903863963266648E-2</c:v>
                </c:pt>
                <c:pt idx="226">
                  <c:v>6.6461361459177175E-3</c:v>
                </c:pt>
                <c:pt idx="227">
                  <c:v>1.0145040547544543E-3</c:v>
                </c:pt>
                <c:pt idx="228">
                  <c:v>-3.658573884141348E-2</c:v>
                </c:pt>
                <c:pt idx="229">
                  <c:v>-1.2051218658886434E-2</c:v>
                </c:pt>
                <c:pt idx="230">
                  <c:v>3.1841410853944738E-3</c:v>
                </c:pt>
                <c:pt idx="231">
                  <c:v>-1.4152219030334074E-2</c:v>
                </c:pt>
                <c:pt idx="232">
                  <c:v>1.1189946434193936E-3</c:v>
                </c:pt>
                <c:pt idx="233">
                  <c:v>4.5374416139537634E-3</c:v>
                </c:pt>
                <c:pt idx="234">
                  <c:v>-1.4984936430553161E-3</c:v>
                </c:pt>
                <c:pt idx="235">
                  <c:v>1.6778117456981438E-3</c:v>
                </c:pt>
                <c:pt idx="236">
                  <c:v>5.1159367239082361E-3</c:v>
                </c:pt>
                <c:pt idx="237">
                  <c:v>-7.1029404233147794E-3</c:v>
                </c:pt>
                <c:pt idx="238">
                  <c:v>4.5568467409614358E-4</c:v>
                </c:pt>
                <c:pt idx="239">
                  <c:v>1.3058587919487261E-2</c:v>
                </c:pt>
                <c:pt idx="240">
                  <c:v>1.4688773983084166E-3</c:v>
                </c:pt>
                <c:pt idx="241">
                  <c:v>3.6070658101009165E-3</c:v>
                </c:pt>
                <c:pt idx="242">
                  <c:v>1.6816108757295015E-2</c:v>
                </c:pt>
                <c:pt idx="243">
                  <c:v>2.2985597964362014E-2</c:v>
                </c:pt>
                <c:pt idx="244">
                  <c:v>-3.5948649407108964E-2</c:v>
                </c:pt>
                <c:pt idx="245">
                  <c:v>6.5442637567114841E-3</c:v>
                </c:pt>
                <c:pt idx="246">
                  <c:v>-2.0031179811055243E-2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D9-46C4-B797-AB919FB713EA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CAPM!$C$2:$C$248</c:f>
              <c:numCache>
                <c:formatCode>0.000%</c:formatCode>
                <c:ptCount val="247"/>
                <c:pt idx="0">
                  <c:v>-4.7454849169532316E-3</c:v>
                </c:pt>
                <c:pt idx="1">
                  <c:v>5.3402570791968307E-3</c:v>
                </c:pt>
                <c:pt idx="2">
                  <c:v>5.488566143699687E-3</c:v>
                </c:pt>
                <c:pt idx="3">
                  <c:v>-3.9827876272854204E-3</c:v>
                </c:pt>
                <c:pt idx="4">
                  <c:v>3.9827876272855566E-3</c:v>
                </c:pt>
                <c:pt idx="5">
                  <c:v>1.193299130579461E-3</c:v>
                </c:pt>
                <c:pt idx="6">
                  <c:v>1.2945621644613778E-4</c:v>
                </c:pt>
                <c:pt idx="7">
                  <c:v>7.0136944435542489E-3</c:v>
                </c:pt>
                <c:pt idx="8">
                  <c:v>4.7045784684853244E-3</c:v>
                </c:pt>
                <c:pt idx="9">
                  <c:v>3.2134502892125225E-3</c:v>
                </c:pt>
                <c:pt idx="10">
                  <c:v>-6.8232620975946482E-4</c:v>
                </c:pt>
                <c:pt idx="11">
                  <c:v>-3.4417784064369639E-3</c:v>
                </c:pt>
                <c:pt idx="12">
                  <c:v>-6.4523889677539662E-3</c:v>
                </c:pt>
                <c:pt idx="13">
                  <c:v>1.6023948057699113E-3</c:v>
                </c:pt>
                <c:pt idx="14">
                  <c:v>-6.0368458886522298E-3</c:v>
                </c:pt>
                <c:pt idx="15">
                  <c:v>-6.7800786382074861E-3</c:v>
                </c:pt>
                <c:pt idx="16">
                  <c:v>4.5277928328536733E-3</c:v>
                </c:pt>
                <c:pt idx="17">
                  <c:v>-1.1502392783005436E-3</c:v>
                </c:pt>
                <c:pt idx="18">
                  <c:v>6.603425771068816E-3</c:v>
                </c:pt>
                <c:pt idx="19">
                  <c:v>-3.7243774737084727E-3</c:v>
                </c:pt>
                <c:pt idx="20">
                  <c:v>8.8098923781576393E-4</c:v>
                </c:pt>
                <c:pt idx="21">
                  <c:v>9.8430248656327583E-4</c:v>
                </c:pt>
                <c:pt idx="22">
                  <c:v>5.1713885544162376E-3</c:v>
                </c:pt>
                <c:pt idx="23">
                  <c:v>4.8562191462695678E-3</c:v>
                </c:pt>
                <c:pt idx="24">
                  <c:v>1.0283174989422342E-2</c:v>
                </c:pt>
                <c:pt idx="25">
                  <c:v>7.0558387242180077E-3</c:v>
                </c:pt>
                <c:pt idx="26">
                  <c:v>-3.2497693513395339E-3</c:v>
                </c:pt>
                <c:pt idx="27">
                  <c:v>-2.2964531885856635E-3</c:v>
                </c:pt>
                <c:pt idx="28">
                  <c:v>4.1036652680295424E-3</c:v>
                </c:pt>
                <c:pt idx="29">
                  <c:v>5.401388262863396E-3</c:v>
                </c:pt>
                <c:pt idx="30">
                  <c:v>-2.4783456627061593E-3</c:v>
                </c:pt>
                <c:pt idx="31">
                  <c:v>1.2214575517932756E-3</c:v>
                </c:pt>
                <c:pt idx="32">
                  <c:v>7.3401581061951155E-3</c:v>
                </c:pt>
                <c:pt idx="33">
                  <c:v>2.3305604393949906E-3</c:v>
                </c:pt>
                <c:pt idx="34">
                  <c:v>9.1087319879058007E-3</c:v>
                </c:pt>
                <c:pt idx="35">
                  <c:v>-9.6657604081426692E-4</c:v>
                </c:pt>
                <c:pt idx="36">
                  <c:v>-8.0341496238696723E-4</c:v>
                </c:pt>
                <c:pt idx="37">
                  <c:v>-9.5327143727411273E-3</c:v>
                </c:pt>
                <c:pt idx="38">
                  <c:v>-6.6489726459885842E-3</c:v>
                </c:pt>
                <c:pt idx="39">
                  <c:v>-4.48370532782927E-3</c:v>
                </c:pt>
                <c:pt idx="40">
                  <c:v>-1.3043001063899793E-3</c:v>
                </c:pt>
                <c:pt idx="41">
                  <c:v>-4.9357504010677988E-3</c:v>
                </c:pt>
                <c:pt idx="42">
                  <c:v>-3.8048819662613634E-3</c:v>
                </c:pt>
                <c:pt idx="43">
                  <c:v>3.6785428205012871E-3</c:v>
                </c:pt>
                <c:pt idx="44">
                  <c:v>3.6049543335288465E-3</c:v>
                </c:pt>
                <c:pt idx="45">
                  <c:v>6.7543783401827241E-3</c:v>
                </c:pt>
                <c:pt idx="46">
                  <c:v>-1.7854585559052094E-3</c:v>
                </c:pt>
                <c:pt idx="47">
                  <c:v>4.3296588950226811E-3</c:v>
                </c:pt>
                <c:pt idx="48">
                  <c:v>1.2965551071398326E-3</c:v>
                </c:pt>
                <c:pt idx="49">
                  <c:v>4.1932820559463261E-3</c:v>
                </c:pt>
                <c:pt idx="50">
                  <c:v>3.8455581291435849E-3</c:v>
                </c:pt>
                <c:pt idx="51">
                  <c:v>1.2986188601915426E-3</c:v>
                </c:pt>
                <c:pt idx="52">
                  <c:v>2.708422198937796E-4</c:v>
                </c:pt>
                <c:pt idx="53">
                  <c:v>7.7857447964071113E-4</c:v>
                </c:pt>
                <c:pt idx="54">
                  <c:v>5.495539207320317E-3</c:v>
                </c:pt>
                <c:pt idx="55">
                  <c:v>-1.8473869004707994E-3</c:v>
                </c:pt>
                <c:pt idx="56">
                  <c:v>8.0812803848293591E-3</c:v>
                </c:pt>
                <c:pt idx="57">
                  <c:v>-3.0269144417419749E-3</c:v>
                </c:pt>
                <c:pt idx="58">
                  <c:v>-8.5811273528911703E-3</c:v>
                </c:pt>
                <c:pt idx="59">
                  <c:v>-1.0294013179196964E-2</c:v>
                </c:pt>
                <c:pt idx="60">
                  <c:v>3.9187133859900506E-3</c:v>
                </c:pt>
                <c:pt idx="61">
                  <c:v>-8.5539474026356463E-3</c:v>
                </c:pt>
                <c:pt idx="62">
                  <c:v>1.324442740923701E-3</c:v>
                </c:pt>
                <c:pt idx="63">
                  <c:v>2.7942582021172405E-3</c:v>
                </c:pt>
                <c:pt idx="64">
                  <c:v>4.1598532435831309E-3</c:v>
                </c:pt>
                <c:pt idx="65">
                  <c:v>9.9236800312108801E-3</c:v>
                </c:pt>
                <c:pt idx="66">
                  <c:v>4.8527279272500415E-4</c:v>
                </c:pt>
                <c:pt idx="67">
                  <c:v>5.3740195618916181E-3</c:v>
                </c:pt>
                <c:pt idx="68">
                  <c:v>-3.9798350761185517E-3</c:v>
                </c:pt>
                <c:pt idx="69">
                  <c:v>9.0606329752241262E-3</c:v>
                </c:pt>
                <c:pt idx="70">
                  <c:v>-9.5120249782038261E-3</c:v>
                </c:pt>
                <c:pt idx="71">
                  <c:v>8.9281452981572603E-4</c:v>
                </c:pt>
                <c:pt idx="72">
                  <c:v>-3.0615326485490348E-3</c:v>
                </c:pt>
                <c:pt idx="73">
                  <c:v>-2.9652276128395885E-3</c:v>
                </c:pt>
                <c:pt idx="74">
                  <c:v>6.3869589240010231E-3</c:v>
                </c:pt>
                <c:pt idx="75">
                  <c:v>-8.2297150116146193E-3</c:v>
                </c:pt>
                <c:pt idx="76">
                  <c:v>-3.4943227678611022E-3</c:v>
                </c:pt>
                <c:pt idx="77">
                  <c:v>1.3668533203841048E-3</c:v>
                </c:pt>
                <c:pt idx="78">
                  <c:v>5.6644327448940367E-3</c:v>
                </c:pt>
                <c:pt idx="79">
                  <c:v>-6.3048116777717281E-3</c:v>
                </c:pt>
                <c:pt idx="80">
                  <c:v>-9.0222680148949828E-3</c:v>
                </c:pt>
                <c:pt idx="81">
                  <c:v>-6.2766205821811125E-3</c:v>
                </c:pt>
                <c:pt idx="82">
                  <c:v>6.3245027919540961E-3</c:v>
                </c:pt>
                <c:pt idx="83">
                  <c:v>-1.1883969208231818E-3</c:v>
                </c:pt>
                <c:pt idx="84">
                  <c:v>4.8862342043243081E-3</c:v>
                </c:pt>
                <c:pt idx="85">
                  <c:v>-5.7128920738239268E-3</c:v>
                </c:pt>
                <c:pt idx="86">
                  <c:v>-3.9981374112852634E-3</c:v>
                </c:pt>
                <c:pt idx="87">
                  <c:v>6.4474087122986417E-4</c:v>
                </c:pt>
                <c:pt idx="88">
                  <c:v>4.5148958612713751E-3</c:v>
                </c:pt>
                <c:pt idx="89">
                  <c:v>-2.6895142142431107E-3</c:v>
                </c:pt>
                <c:pt idx="90">
                  <c:v>-8.1338768732905544E-3</c:v>
                </c:pt>
                <c:pt idx="91">
                  <c:v>-4.7549485778671007E-3</c:v>
                </c:pt>
                <c:pt idx="92">
                  <c:v>-1.8196582966253595E-3</c:v>
                </c:pt>
                <c:pt idx="93">
                  <c:v>2.4007637482767337E-3</c:v>
                </c:pt>
                <c:pt idx="94">
                  <c:v>1.1782657107136236E-5</c:v>
                </c:pt>
                <c:pt idx="95">
                  <c:v>2.1900559806014813E-3</c:v>
                </c:pt>
                <c:pt idx="96">
                  <c:v>-1.8915156833006601E-3</c:v>
                </c:pt>
                <c:pt idx="97">
                  <c:v>-3.4669964446766102E-3</c:v>
                </c:pt>
                <c:pt idx="98">
                  <c:v>9.6946961940914944E-4</c:v>
                </c:pt>
                <c:pt idx="99">
                  <c:v>-4.7209687553906882E-3</c:v>
                </c:pt>
                <c:pt idx="100">
                  <c:v>3.4696479984903748E-3</c:v>
                </c:pt>
                <c:pt idx="101">
                  <c:v>1.1979963629751521E-2</c:v>
                </c:pt>
                <c:pt idx="102">
                  <c:v>7.969960122065977E-3</c:v>
                </c:pt>
                <c:pt idx="103">
                  <c:v>2.8970604822426802E-3</c:v>
                </c:pt>
                <c:pt idx="104">
                  <c:v>-5.610555346030624E-3</c:v>
                </c:pt>
                <c:pt idx="105">
                  <c:v>1.2790309347901757E-2</c:v>
                </c:pt>
                <c:pt idx="106">
                  <c:v>-7.5798355821293751E-4</c:v>
                </c:pt>
                <c:pt idx="107">
                  <c:v>-1.6651418462635466E-3</c:v>
                </c:pt>
                <c:pt idx="108">
                  <c:v>-3.7389676871053394E-3</c:v>
                </c:pt>
                <c:pt idx="109">
                  <c:v>9.177535114667245E-3</c:v>
                </c:pt>
                <c:pt idx="110">
                  <c:v>-6.8377988828330826E-3</c:v>
                </c:pt>
                <c:pt idx="111">
                  <c:v>-1.0122094193621185E-2</c:v>
                </c:pt>
                <c:pt idx="112">
                  <c:v>1.4787352445249067E-3</c:v>
                </c:pt>
                <c:pt idx="113">
                  <c:v>4.1826462015294284E-5</c:v>
                </c:pt>
                <c:pt idx="114">
                  <c:v>3.9975106246084267E-3</c:v>
                </c:pt>
                <c:pt idx="115">
                  <c:v>1.0135965436883998E-2</c:v>
                </c:pt>
                <c:pt idx="116">
                  <c:v>5.2946077897617046E-3</c:v>
                </c:pt>
                <c:pt idx="117">
                  <c:v>3.1609356156210005E-3</c:v>
                </c:pt>
                <c:pt idx="118">
                  <c:v>-7.0687740923206172E-3</c:v>
                </c:pt>
                <c:pt idx="119">
                  <c:v>-1.3786887661705169E-3</c:v>
                </c:pt>
                <c:pt idx="120">
                  <c:v>-3.3438034717525197E-3</c:v>
                </c:pt>
                <c:pt idx="121">
                  <c:v>3.2731009002705618E-3</c:v>
                </c:pt>
                <c:pt idx="122">
                  <c:v>-2.9750731170425774E-3</c:v>
                </c:pt>
                <c:pt idx="123">
                  <c:v>-7.0222766786781181E-3</c:v>
                </c:pt>
                <c:pt idx="124">
                  <c:v>5.9373187376564407E-3</c:v>
                </c:pt>
                <c:pt idx="125">
                  <c:v>9.8438309105117507E-3</c:v>
                </c:pt>
                <c:pt idx="126">
                  <c:v>-8.2451707060623922E-3</c:v>
                </c:pt>
                <c:pt idx="127">
                  <c:v>5.2346356247726386E-3</c:v>
                </c:pt>
                <c:pt idx="128">
                  <c:v>-1.0540231594245037E-2</c:v>
                </c:pt>
                <c:pt idx="129">
                  <c:v>-2.976070564100508E-3</c:v>
                </c:pt>
                <c:pt idx="130">
                  <c:v>-1.6892334379733957E-3</c:v>
                </c:pt>
                <c:pt idx="131">
                  <c:v>1.5894480888894447E-2</c:v>
                </c:pt>
                <c:pt idx="132">
                  <c:v>3.5962898121936287E-3</c:v>
                </c:pt>
                <c:pt idx="133">
                  <c:v>-1.3993305528556882E-2</c:v>
                </c:pt>
                <c:pt idx="134">
                  <c:v>3.7472171529076455E-2</c:v>
                </c:pt>
                <c:pt idx="135">
                  <c:v>-1.1010471243807775E-2</c:v>
                </c:pt>
                <c:pt idx="136">
                  <c:v>-5.7755427734603581E-3</c:v>
                </c:pt>
                <c:pt idx="137">
                  <c:v>1.4264051276974533E-3</c:v>
                </c:pt>
                <c:pt idx="138">
                  <c:v>-3.3394276617622325E-3</c:v>
                </c:pt>
                <c:pt idx="139">
                  <c:v>4.6898279589179014E-3</c:v>
                </c:pt>
                <c:pt idx="140">
                  <c:v>5.1354844609369319E-4</c:v>
                </c:pt>
                <c:pt idx="141">
                  <c:v>-7.1912661076828911E-5</c:v>
                </c:pt>
                <c:pt idx="142">
                  <c:v>3.0617833174725629E-4</c:v>
                </c:pt>
                <c:pt idx="143">
                  <c:v>1.1956431581801425E-2</c:v>
                </c:pt>
                <c:pt idx="144">
                  <c:v>-8.588454617289994E-3</c:v>
                </c:pt>
                <c:pt idx="145">
                  <c:v>-3.386473618159028E-3</c:v>
                </c:pt>
                <c:pt idx="146">
                  <c:v>6.6685884351257562E-3</c:v>
                </c:pt>
                <c:pt idx="147">
                  <c:v>1.726965939596701E-3</c:v>
                </c:pt>
                <c:pt idx="148">
                  <c:v>1.1418047561345738E-2</c:v>
                </c:pt>
                <c:pt idx="149">
                  <c:v>1.7528893682587383E-2</c:v>
                </c:pt>
                <c:pt idx="150">
                  <c:v>4.6465712828317922E-3</c:v>
                </c:pt>
                <c:pt idx="151">
                  <c:v>2.16659867627985E-2</c:v>
                </c:pt>
                <c:pt idx="152">
                  <c:v>1.8988933890639957E-2</c:v>
                </c:pt>
                <c:pt idx="153">
                  <c:v>-6.0843628224417504E-3</c:v>
                </c:pt>
                <c:pt idx="154">
                  <c:v>1.6746313096183522E-2</c:v>
                </c:pt>
                <c:pt idx="155">
                  <c:v>-3.2970153387305259E-2</c:v>
                </c:pt>
                <c:pt idx="156">
                  <c:v>-1.4978218273382259E-2</c:v>
                </c:pt>
                <c:pt idx="157">
                  <c:v>-3.5313765366867989E-3</c:v>
                </c:pt>
                <c:pt idx="158">
                  <c:v>7.1680732227189349E-3</c:v>
                </c:pt>
                <c:pt idx="159">
                  <c:v>-1.5150750180769317E-2</c:v>
                </c:pt>
                <c:pt idx="160">
                  <c:v>-3.0820655541120134E-3</c:v>
                </c:pt>
                <c:pt idx="161">
                  <c:v>4.4648620864278519E-3</c:v>
                </c:pt>
                <c:pt idx="162">
                  <c:v>-7.710697617041672E-3</c:v>
                </c:pt>
                <c:pt idx="163">
                  <c:v>4.3526951476421065E-4</c:v>
                </c:pt>
                <c:pt idx="164">
                  <c:v>1.310200357491904E-2</c:v>
                </c:pt>
                <c:pt idx="165">
                  <c:v>6.8649343915537933E-3</c:v>
                </c:pt>
                <c:pt idx="166">
                  <c:v>1.228044696739064E-2</c:v>
                </c:pt>
                <c:pt idx="167">
                  <c:v>3.2049417598595076E-3</c:v>
                </c:pt>
                <c:pt idx="168">
                  <c:v>1.4359668968781786E-2</c:v>
                </c:pt>
                <c:pt idx="169">
                  <c:v>4.9681714537350846E-3</c:v>
                </c:pt>
                <c:pt idx="170">
                  <c:v>-3.2673867932358361E-3</c:v>
                </c:pt>
                <c:pt idx="171">
                  <c:v>-1.2186336801356743E-3</c:v>
                </c:pt>
                <c:pt idx="172">
                  <c:v>1.6726652208703832E-3</c:v>
                </c:pt>
                <c:pt idx="173">
                  <c:v>-4.0966182483126905E-3</c:v>
                </c:pt>
                <c:pt idx="174">
                  <c:v>3.4591948403792664E-4</c:v>
                </c:pt>
                <c:pt idx="175">
                  <c:v>9.2420781725971422E-3</c:v>
                </c:pt>
                <c:pt idx="176">
                  <c:v>1.1465694568782813E-2</c:v>
                </c:pt>
                <c:pt idx="177">
                  <c:v>-1.6582982605433554E-3</c:v>
                </c:pt>
                <c:pt idx="178">
                  <c:v>-2.4410089624874701E-4</c:v>
                </c:pt>
                <c:pt idx="179">
                  <c:v>-1.8820898177206152E-2</c:v>
                </c:pt>
                <c:pt idx="180">
                  <c:v>-1.108829387776427E-4</c:v>
                </c:pt>
                <c:pt idx="181">
                  <c:v>-2.5720107722782741E-4</c:v>
                </c:pt>
                <c:pt idx="182">
                  <c:v>-1.069708155537406E-2</c:v>
                </c:pt>
                <c:pt idx="183">
                  <c:v>-5.1302863291465021E-3</c:v>
                </c:pt>
                <c:pt idx="184">
                  <c:v>-8.615791860687675E-4</c:v>
                </c:pt>
                <c:pt idx="185">
                  <c:v>-5.4056176144420191E-4</c:v>
                </c:pt>
                <c:pt idx="186">
                  <c:v>-6.1867170548291742E-4</c:v>
                </c:pt>
                <c:pt idx="187">
                  <c:v>1.318406118349223E-3</c:v>
                </c:pt>
                <c:pt idx="188">
                  <c:v>-4.4451141660866375E-3</c:v>
                </c:pt>
                <c:pt idx="189">
                  <c:v>-6.0117219533637628E-4</c:v>
                </c:pt>
                <c:pt idx="190">
                  <c:v>-1.1514180951839536E-3</c:v>
                </c:pt>
                <c:pt idx="191">
                  <c:v>-1.3338295712820561E-2</c:v>
                </c:pt>
                <c:pt idx="192">
                  <c:v>-7.598848278210316E-3</c:v>
                </c:pt>
                <c:pt idx="193">
                  <c:v>-1.8404145702315485E-3</c:v>
                </c:pt>
                <c:pt idx="194">
                  <c:v>-3.9302666996406553E-3</c:v>
                </c:pt>
                <c:pt idx="195">
                  <c:v>-1.8108786231885072E-3</c:v>
                </c:pt>
                <c:pt idx="196">
                  <c:v>1.6059690853104273E-2</c:v>
                </c:pt>
                <c:pt idx="197">
                  <c:v>-5.1704524791751734E-3</c:v>
                </c:pt>
                <c:pt idx="198">
                  <c:v>-1.1172460305538994E-3</c:v>
                </c:pt>
                <c:pt idx="199">
                  <c:v>1.1074177663955638E-2</c:v>
                </c:pt>
                <c:pt idx="200">
                  <c:v>3.7231312102430775E-3</c:v>
                </c:pt>
                <c:pt idx="201">
                  <c:v>8.9267044567532539E-3</c:v>
                </c:pt>
                <c:pt idx="202">
                  <c:v>5.5955626228530505E-3</c:v>
                </c:pt>
                <c:pt idx="203">
                  <c:v>-1.1456670033394137E-2</c:v>
                </c:pt>
                <c:pt idx="204">
                  <c:v>-4.8879573663295961E-3</c:v>
                </c:pt>
                <c:pt idx="205">
                  <c:v>2.1570001913706685E-3</c:v>
                </c:pt>
                <c:pt idx="206">
                  <c:v>5.6604741870661156E-3</c:v>
                </c:pt>
                <c:pt idx="207">
                  <c:v>-1.3806738277095545E-2</c:v>
                </c:pt>
                <c:pt idx="208">
                  <c:v>6.0819192391741118E-3</c:v>
                </c:pt>
                <c:pt idx="209">
                  <c:v>-4.6694699484325849E-3</c:v>
                </c:pt>
                <c:pt idx="210">
                  <c:v>4.2385877535739327E-3</c:v>
                </c:pt>
                <c:pt idx="211">
                  <c:v>1.6016645210618786E-3</c:v>
                </c:pt>
                <c:pt idx="212">
                  <c:v>3.8952104933376291E-3</c:v>
                </c:pt>
                <c:pt idx="213">
                  <c:v>-1.4857063581440453E-2</c:v>
                </c:pt>
                <c:pt idx="214">
                  <c:v>-4.0461744370668276E-3</c:v>
                </c:pt>
                <c:pt idx="215">
                  <c:v>-6.8812492953755225E-3</c:v>
                </c:pt>
                <c:pt idx="216">
                  <c:v>-7.9963124172743882E-4</c:v>
                </c:pt>
                <c:pt idx="217">
                  <c:v>3.8817603067130878E-3</c:v>
                </c:pt>
                <c:pt idx="218">
                  <c:v>-1.6325161807199819E-2</c:v>
                </c:pt>
                <c:pt idx="219">
                  <c:v>-7.6317874477081537E-3</c:v>
                </c:pt>
                <c:pt idx="220">
                  <c:v>1.8599976460843735E-2</c:v>
                </c:pt>
                <c:pt idx="221">
                  <c:v>4.1403208063656048E-3</c:v>
                </c:pt>
                <c:pt idx="222">
                  <c:v>-4.229250767129392E-6</c:v>
                </c:pt>
                <c:pt idx="223">
                  <c:v>-7.1010005853283714E-3</c:v>
                </c:pt>
                <c:pt idx="224">
                  <c:v>2.6574959504618452E-3</c:v>
                </c:pt>
                <c:pt idx="225">
                  <c:v>9.4991671677012402E-4</c:v>
                </c:pt>
                <c:pt idx="226">
                  <c:v>-1.0867483078192092E-3</c:v>
                </c:pt>
                <c:pt idx="227">
                  <c:v>7.0108723942055237E-3</c:v>
                </c:pt>
                <c:pt idx="228">
                  <c:v>-1.5322391854064712E-2</c:v>
                </c:pt>
                <c:pt idx="229">
                  <c:v>-1.0265808823608006E-2</c:v>
                </c:pt>
                <c:pt idx="230">
                  <c:v>-5.6516241445957781E-3</c:v>
                </c:pt>
                <c:pt idx="231">
                  <c:v>-1.3560256148274351E-2</c:v>
                </c:pt>
                <c:pt idx="232">
                  <c:v>-4.0476180718514044E-3</c:v>
                </c:pt>
                <c:pt idx="233">
                  <c:v>8.9057100554239786E-3</c:v>
                </c:pt>
                <c:pt idx="234">
                  <c:v>-3.7852882635684751E-3</c:v>
                </c:pt>
                <c:pt idx="235">
                  <c:v>1.2892918498735822E-3</c:v>
                </c:pt>
                <c:pt idx="236">
                  <c:v>-3.6360645182499104E-4</c:v>
                </c:pt>
                <c:pt idx="237">
                  <c:v>-2.3855515118706054E-3</c:v>
                </c:pt>
                <c:pt idx="238">
                  <c:v>-1.2392127321359235E-3</c:v>
                </c:pt>
                <c:pt idx="239">
                  <c:v>9.7996040025433873E-3</c:v>
                </c:pt>
                <c:pt idx="240">
                  <c:v>4.2105608026115151E-4</c:v>
                </c:pt>
                <c:pt idx="241">
                  <c:v>7.4323390894845123E-3</c:v>
                </c:pt>
                <c:pt idx="242">
                  <c:v>5.988802614002176E-3</c:v>
                </c:pt>
                <c:pt idx="243">
                  <c:v>9.0311310507838367E-3</c:v>
                </c:pt>
                <c:pt idx="244">
                  <c:v>-1.4972560750343969E-2</c:v>
                </c:pt>
                <c:pt idx="245">
                  <c:v>3.3175600994260466E-3</c:v>
                </c:pt>
                <c:pt idx="246">
                  <c:v>-1.1318480070857482E-3</c:v>
                </c:pt>
              </c:numCache>
            </c:numRef>
          </c:xVal>
          <c:yVal>
            <c:numRef>
              <c:f>CAPM!$O$34:$O$280</c:f>
              <c:numCache>
                <c:formatCode>General</c:formatCode>
                <c:ptCount val="247"/>
                <c:pt idx="0">
                  <c:v>-5.9232068641709148E-3</c:v>
                </c:pt>
                <c:pt idx="1">
                  <c:v>7.606993061050153E-3</c:v>
                </c:pt>
                <c:pt idx="2">
                  <c:v>7.805952274384396E-3</c:v>
                </c:pt>
                <c:pt idx="3">
                  <c:v>-4.9000350622778188E-3</c:v>
                </c:pt>
                <c:pt idx="4">
                  <c:v>5.785923963332721E-3</c:v>
                </c:pt>
                <c:pt idx="5">
                  <c:v>2.0437761804581569E-3</c:v>
                </c:pt>
                <c:pt idx="6">
                  <c:v>6.1661223726506838E-4</c:v>
                </c:pt>
                <c:pt idx="7">
                  <c:v>9.8519386595726805E-3</c:v>
                </c:pt>
                <c:pt idx="8">
                  <c:v>6.7542190465654899E-3</c:v>
                </c:pt>
                <c:pt idx="9">
                  <c:v>4.7538444199496975E-3</c:v>
                </c:pt>
                <c:pt idx="10">
                  <c:v>-4.7240813689634507E-4</c:v>
                </c:pt>
                <c:pt idx="11">
                  <c:v>-4.1742616960483555E-3</c:v>
                </c:pt>
                <c:pt idx="12">
                  <c:v>-8.2130486100057149E-3</c:v>
                </c:pt>
                <c:pt idx="13">
                  <c:v>2.5925852096781166E-3</c:v>
                </c:pt>
                <c:pt idx="14">
                  <c:v>-7.6555902752659796E-3</c:v>
                </c:pt>
                <c:pt idx="15">
                  <c:v>-8.6526500549324609E-3</c:v>
                </c:pt>
                <c:pt idx="16">
                  <c:v>6.5170580132060622E-3</c:v>
                </c:pt>
                <c:pt idx="17">
                  <c:v>-1.1001217317316207E-3</c:v>
                </c:pt>
                <c:pt idx="18">
                  <c:v>9.3015560338916056E-3</c:v>
                </c:pt>
                <c:pt idx="19">
                  <c:v>-4.5533733053205409E-3</c:v>
                </c:pt>
                <c:pt idx="20">
                  <c:v>1.6248069772671391E-3</c:v>
                </c:pt>
                <c:pt idx="21">
                  <c:v>1.7634035139435205E-3</c:v>
                </c:pt>
                <c:pt idx="22">
                  <c:v>7.3804529708683163E-3</c:v>
                </c:pt>
                <c:pt idx="23">
                  <c:v>6.9576476775972994E-3</c:v>
                </c:pt>
                <c:pt idx="24">
                  <c:v>1.4238004201810652E-2</c:v>
                </c:pt>
                <c:pt idx="25">
                  <c:v>9.9084759518515177E-3</c:v>
                </c:pt>
                <c:pt idx="26">
                  <c:v>-3.9166781782553469E-3</c:v>
                </c:pt>
                <c:pt idx="27">
                  <c:v>-2.6377878121396853E-3</c:v>
                </c:pt>
                <c:pt idx="28">
                  <c:v>5.9480834401842491E-3</c:v>
                </c:pt>
                <c:pt idx="29">
                  <c:v>7.6890016169888003E-3</c:v>
                </c:pt>
                <c:pt idx="30">
                  <c:v>-2.8817997589734275E-3</c:v>
                </c:pt>
                <c:pt idx="31">
                  <c:v>2.0815511967878357E-3</c:v>
                </c:pt>
                <c:pt idx="32">
                  <c:v>1.0289895393498351E-2</c:v>
                </c:pt>
                <c:pt idx="33">
                  <c:v>3.5694321888476606E-3</c:v>
                </c:pt>
                <c:pt idx="34">
                  <c:v>1.2662468300003801E-2</c:v>
                </c:pt>
                <c:pt idx="35">
                  <c:v>-8.537342747600605E-4</c:v>
                </c:pt>
                <c:pt idx="36">
                  <c:v>-6.3485082404530634E-4</c:v>
                </c:pt>
                <c:pt idx="37">
                  <c:v>-1.2345359210467534E-2</c:v>
                </c:pt>
                <c:pt idx="38">
                  <c:v>-8.4767690650366899E-3</c:v>
                </c:pt>
                <c:pt idx="39">
                  <c:v>-5.5720249502828282E-3</c:v>
                </c:pt>
                <c:pt idx="40">
                  <c:v>-1.3067970368793099E-3</c:v>
                </c:pt>
                <c:pt idx="41">
                  <c:v>-6.1784513508851037E-3</c:v>
                </c:pt>
                <c:pt idx="42">
                  <c:v>-4.6613714951944107E-3</c:v>
                </c:pt>
                <c:pt idx="43">
                  <c:v>5.3777742145514444E-3</c:v>
                </c:pt>
                <c:pt idx="44">
                  <c:v>5.2790539675620102E-3</c:v>
                </c:pt>
                <c:pt idx="45">
                  <c:v>9.5040615550636282E-3</c:v>
                </c:pt>
                <c:pt idx="46">
                  <c:v>-1.9522795427906767E-3</c:v>
                </c:pt>
                <c:pt idx="47">
                  <c:v>6.2512578577144816E-3</c:v>
                </c:pt>
                <c:pt idx="48">
                  <c:v>2.1822958854901772E-3</c:v>
                </c:pt>
                <c:pt idx="49">
                  <c:v>6.0683059342390312E-3</c:v>
                </c:pt>
                <c:pt idx="50">
                  <c:v>5.6018281827538222E-3</c:v>
                </c:pt>
                <c:pt idx="51">
                  <c:v>2.1850644464345859E-3</c:v>
                </c:pt>
                <c:pt idx="52">
                  <c:v>8.0628404267163271E-4</c:v>
                </c:pt>
                <c:pt idx="53">
                  <c:v>1.4874157814651267E-3</c:v>
                </c:pt>
                <c:pt idx="54">
                  <c:v>7.8153067616312868E-3</c:v>
                </c:pt>
                <c:pt idx="55">
                  <c:v>-2.0353575040681169E-3</c:v>
                </c:pt>
                <c:pt idx="56">
                  <c:v>1.1284123939378705E-2</c:v>
                </c:pt>
                <c:pt idx="57">
                  <c:v>-3.6177144052059237E-3</c:v>
                </c:pt>
                <c:pt idx="58">
                  <c:v>-1.1068788519909521E-2</c:v>
                </c:pt>
                <c:pt idx="59">
                  <c:v>-1.3366654922583864E-2</c:v>
                </c:pt>
                <c:pt idx="60">
                  <c:v>5.6999672439246715E-3</c:v>
                </c:pt>
                <c:pt idx="61">
                  <c:v>-1.1032326139545719E-2</c:v>
                </c:pt>
                <c:pt idx="62">
                  <c:v>2.219707635729388E-3</c:v>
                </c:pt>
                <c:pt idx="63">
                  <c:v>4.1914908769347297E-3</c:v>
                </c:pt>
                <c:pt idx="64">
                  <c:v>6.0234605956700511E-3</c:v>
                </c:pt>
                <c:pt idx="65">
                  <c:v>1.375573540507098E-2</c:v>
                </c:pt>
                <c:pt idx="66">
                  <c:v>1.0939464200746664E-3</c:v>
                </c:pt>
                <c:pt idx="67">
                  <c:v>7.6522860242259575E-3</c:v>
                </c:pt>
                <c:pt idx="68">
                  <c:v>-4.8960741630606434E-3</c:v>
                </c:pt>
                <c:pt idx="69">
                  <c:v>1.2597942630198127E-2</c:v>
                </c:pt>
                <c:pt idx="70">
                  <c:v>-1.2317604024529968E-2</c:v>
                </c:pt>
                <c:pt idx="71">
                  <c:v>1.6406708140572017E-3</c:v>
                </c:pt>
                <c:pt idx="72">
                  <c:v>-3.6641553372990677E-3</c:v>
                </c:pt>
                <c:pt idx="73">
                  <c:v>-3.5349604414300516E-3</c:v>
                </c:pt>
                <c:pt idx="74">
                  <c:v>9.0111619588570183E-3</c:v>
                </c:pt>
                <c:pt idx="75">
                  <c:v>-1.0597362695664097E-2</c:v>
                </c:pt>
                <c:pt idx="76">
                  <c:v>-4.2447508792222899E-3</c:v>
                </c:pt>
                <c:pt idx="77">
                  <c:v>2.2766021725183303E-3</c:v>
                </c:pt>
                <c:pt idx="78">
                  <c:v>8.0418804069141581E-3</c:v>
                </c:pt>
                <c:pt idx="79">
                  <c:v>-8.0150710850358901E-3</c:v>
                </c:pt>
                <c:pt idx="80">
                  <c:v>-1.1660586461432747E-2</c:v>
                </c:pt>
                <c:pt idx="81">
                  <c:v>-7.9772522354561917E-3</c:v>
                </c:pt>
                <c:pt idx="82">
                  <c:v>8.9273759614089867E-3</c:v>
                </c:pt>
                <c:pt idx="83">
                  <c:v>-1.1513108789657544E-3</c:v>
                </c:pt>
                <c:pt idx="84">
                  <c:v>6.9979134048390604E-3</c:v>
                </c:pt>
                <c:pt idx="85">
                  <c:v>-7.2210005462368084E-3</c:v>
                </c:pt>
                <c:pt idx="86">
                  <c:v>-4.920627066951953E-3</c:v>
                </c:pt>
                <c:pt idx="87">
                  <c:v>1.3078756465693775E-3</c:v>
                </c:pt>
                <c:pt idx="88">
                  <c:v>6.4997564994448533E-3</c:v>
                </c:pt>
                <c:pt idx="89">
                  <c:v>-3.1650860775511713E-3</c:v>
                </c:pt>
                <c:pt idx="90">
                  <c:v>-1.0468794150833129E-2</c:v>
                </c:pt>
                <c:pt idx="91">
                  <c:v>-5.9359025314047213E-3</c:v>
                </c:pt>
                <c:pt idx="92">
                  <c:v>-1.9981590952827975E-3</c:v>
                </c:pt>
                <c:pt idx="93">
                  <c:v>3.6636111600076024E-3</c:v>
                </c:pt>
                <c:pt idx="94">
                  <c:v>4.5875109186031669E-4</c:v>
                </c:pt>
                <c:pt idx="95">
                  <c:v>3.3809429910685741E-3</c:v>
                </c:pt>
                <c:pt idx="96">
                  <c:v>-2.0945570408372107E-3</c:v>
                </c:pt>
                <c:pt idx="97">
                  <c:v>-4.2080921370049587E-3</c:v>
                </c:pt>
                <c:pt idx="98">
                  <c:v>1.7435049622914771E-3</c:v>
                </c:pt>
                <c:pt idx="99">
                  <c:v>-5.8903180030968503E-3</c:v>
                </c:pt>
                <c:pt idx="100">
                  <c:v>5.0975381440441876E-3</c:v>
                </c:pt>
                <c:pt idx="101">
                  <c:v>1.6514275946939699E-2</c:v>
                </c:pt>
                <c:pt idx="102">
                  <c:v>1.1134785852851046E-2</c:v>
                </c:pt>
                <c:pt idx="103">
                  <c:v>4.3294019402354495E-3</c:v>
                </c:pt>
                <c:pt idx="104">
                  <c:v>-7.0837140295615993E-3</c:v>
                </c:pt>
                <c:pt idx="105">
                  <c:v>1.7601368952025964E-2</c:v>
                </c:pt>
                <c:pt idx="106">
                  <c:v>-5.7390379787779309E-4</c:v>
                </c:pt>
                <c:pt idx="107">
                  <c:v>-1.7908725648590701E-3</c:v>
                </c:pt>
                <c:pt idx="108">
                  <c:v>-4.5729463326978619E-3</c:v>
                </c:pt>
                <c:pt idx="109">
                  <c:v>1.2754768902271639E-2</c:v>
                </c:pt>
                <c:pt idx="110">
                  <c:v>-8.7300827762746384E-3</c:v>
                </c:pt>
                <c:pt idx="111">
                  <c:v>-1.3136022585699833E-2</c:v>
                </c:pt>
                <c:pt idx="112">
                  <c:v>2.4266937376427712E-3</c:v>
                </c:pt>
                <c:pt idx="113">
                  <c:v>4.9905538351053787E-4</c:v>
                </c:pt>
                <c:pt idx="114">
                  <c:v>5.8056751226775631E-3</c:v>
                </c:pt>
                <c:pt idx="115">
                  <c:v>1.4040520003076793E-2</c:v>
                </c:pt>
                <c:pt idx="116">
                  <c:v>7.5457537379802885E-3</c:v>
                </c:pt>
                <c:pt idx="117">
                  <c:v>4.6833950635243359E-3</c:v>
                </c:pt>
                <c:pt idx="118">
                  <c:v>-9.0399400741639855E-3</c:v>
                </c:pt>
                <c:pt idx="119">
                  <c:v>-1.406590729736427E-3</c:v>
                </c:pt>
                <c:pt idx="120">
                  <c:v>-4.0428266013922539E-3</c:v>
                </c:pt>
                <c:pt idx="121">
                  <c:v>4.8338667617451704E-3</c:v>
                </c:pt>
                <c:pt idx="122">
                  <c:v>-3.5481683581387972E-3</c:v>
                </c:pt>
                <c:pt idx="123">
                  <c:v>-8.9775629775826066E-3</c:v>
                </c:pt>
                <c:pt idx="124">
                  <c:v>8.4079617562365129E-3</c:v>
                </c:pt>
                <c:pt idx="125">
                  <c:v>1.3648616408042826E-2</c:v>
                </c:pt>
                <c:pt idx="126">
                  <c:v>-1.0618096781063199E-2</c:v>
                </c:pt>
                <c:pt idx="127">
                  <c:v>7.4653000259420317E-3</c:v>
                </c:pt>
                <c:pt idx="128">
                  <c:v>-1.3696961248300221E-2</c:v>
                </c:pt>
                <c:pt idx="129">
                  <c:v>-3.5495064508754325E-3</c:v>
                </c:pt>
                <c:pt idx="130">
                  <c:v>-1.8231918580231706E-3</c:v>
                </c:pt>
                <c:pt idx="131">
                  <c:v>2.1765669562515997E-2</c:v>
                </c:pt>
                <c:pt idx="132">
                  <c:v>5.2674303601004478E-3</c:v>
                </c:pt>
                <c:pt idx="133">
                  <c:v>-1.8329320543793132E-2</c:v>
                </c:pt>
                <c:pt idx="134">
                  <c:v>5.0712520314565523E-2</c:v>
                </c:pt>
                <c:pt idx="135">
                  <c:v>-1.4327795992415073E-2</c:v>
                </c:pt>
                <c:pt idx="136">
                  <c:v>-7.3050475595214494E-3</c:v>
                </c:pt>
                <c:pt idx="137">
                  <c:v>2.3564919673559753E-3</c:v>
                </c:pt>
                <c:pt idx="138">
                  <c:v>-4.0369563754806687E-3</c:v>
                </c:pt>
                <c:pt idx="139">
                  <c:v>6.7344309790616508E-3</c:v>
                </c:pt>
                <c:pt idx="140">
                  <c:v>1.1318787053979128E-3</c:v>
                </c:pt>
                <c:pt idx="141">
                  <c:v>3.4647235339305219E-4</c:v>
                </c:pt>
                <c:pt idx="142">
                  <c:v>8.5368805698609923E-4</c:v>
                </c:pt>
                <c:pt idx="143">
                  <c:v>1.6482707291551105E-2</c:v>
                </c:pt>
                <c:pt idx="144">
                  <c:v>-1.1078618173717728E-2</c:v>
                </c:pt>
                <c:pt idx="145">
                  <c:v>-4.1000693517956339E-3</c:v>
                </c:pt>
                <c:pt idx="146">
                  <c:v>9.3889728915394592E-3</c:v>
                </c:pt>
                <c:pt idx="147">
                  <c:v>2.7596995723329727E-3</c:v>
                </c:pt>
                <c:pt idx="148">
                  <c:v>1.5760455677729303E-2</c:v>
                </c:pt>
                <c:pt idx="149">
                  <c:v>2.3958263014484713E-2</c:v>
                </c:pt>
                <c:pt idx="150">
                  <c:v>6.6764013887975933E-3</c:v>
                </c:pt>
                <c:pt idx="151">
                  <c:v>2.9508246000949381E-2</c:v>
                </c:pt>
                <c:pt idx="152">
                  <c:v>2.5916932582014145E-2</c:v>
                </c:pt>
                <c:pt idx="153">
                  <c:v>-7.7193350760204624E-3</c:v>
                </c:pt>
                <c:pt idx="154">
                  <c:v>2.2908417421004051E-2</c:v>
                </c:pt>
                <c:pt idx="155">
                  <c:v>-4.3787095051348424E-2</c:v>
                </c:pt>
                <c:pt idx="156">
                  <c:v>-1.9650598279379906E-2</c:v>
                </c:pt>
                <c:pt idx="157">
                  <c:v>-4.2944591605154235E-3</c:v>
                </c:pt>
                <c:pt idx="158">
                  <c:v>1.0059040501668887E-2</c:v>
                </c:pt>
                <c:pt idx="159">
                  <c:v>-1.9882052861632526E-2</c:v>
                </c:pt>
                <c:pt idx="160">
                  <c:v>-3.6917005905306921E-3</c:v>
                </c:pt>
                <c:pt idx="161">
                  <c:v>6.4326353122377269E-3</c:v>
                </c:pt>
                <c:pt idx="162">
                  <c:v>-9.9010917504108939E-3</c:v>
                </c:pt>
                <c:pt idx="163">
                  <c:v>1.0268661449710408E-3</c:v>
                </c:pt>
                <c:pt idx="164">
                  <c:v>1.8019512228811242E-2</c:v>
                </c:pt>
                <c:pt idx="165">
                  <c:v>9.6523744385941194E-3</c:v>
                </c:pt>
                <c:pt idx="166">
                  <c:v>1.6917379618836808E-2</c:v>
                </c:pt>
                <c:pt idx="167">
                  <c:v>4.7424300784704243E-3</c:v>
                </c:pt>
                <c:pt idx="168">
                  <c:v>1.9706692430772624E-2</c:v>
                </c:pt>
                <c:pt idx="169">
                  <c:v>7.1078336631873002E-3</c:v>
                </c:pt>
                <c:pt idx="170">
                  <c:v>-3.9403122858023103E-3</c:v>
                </c:pt>
                <c:pt idx="171">
                  <c:v>-1.1918740223363642E-3</c:v>
                </c:pt>
                <c:pt idx="172">
                  <c:v>2.6868542050084137E-3</c:v>
                </c:pt>
                <c:pt idx="173">
                  <c:v>-5.0527408384813885E-3</c:v>
                </c:pt>
                <c:pt idx="174">
                  <c:v>9.0700151036976506E-4</c:v>
                </c:pt>
                <c:pt idx="175">
                  <c:v>1.2841354547423972E-2</c:v>
                </c:pt>
                <c:pt idx="176">
                  <c:v>1.5824374974565191E-2</c:v>
                </c:pt>
                <c:pt idx="177">
                  <c:v>-1.7816917744883744E-3</c:v>
                </c:pt>
                <c:pt idx="178">
                  <c:v>1.1547881344960089E-4</c:v>
                </c:pt>
                <c:pt idx="179">
                  <c:v>-2.480562082181784E-2</c:v>
                </c:pt>
                <c:pt idx="180">
                  <c:v>2.9419304180302078E-4</c:v>
                </c:pt>
                <c:pt idx="181">
                  <c:v>9.7904690715627004E-5</c:v>
                </c:pt>
                <c:pt idx="182">
                  <c:v>-1.3907378224378821E-2</c:v>
                </c:pt>
                <c:pt idx="183">
                  <c:v>-6.4394247131372827E-3</c:v>
                </c:pt>
                <c:pt idx="184">
                  <c:v>-7.128791510846496E-4</c:v>
                </c:pt>
                <c:pt idx="185">
                  <c:v>-2.8222864105693576E-4</c:v>
                </c:pt>
                <c:pt idx="186">
                  <c:v>-3.8701450206697044E-4</c:v>
                </c:pt>
                <c:pt idx="187">
                  <c:v>2.2116094005834794E-3</c:v>
                </c:pt>
                <c:pt idx="188">
                  <c:v>-5.5202542294054083E-3</c:v>
                </c:pt>
                <c:pt idx="189">
                  <c:v>-3.6353860203239524E-4</c:v>
                </c:pt>
                <c:pt idx="190">
                  <c:v>-1.1017031352727634E-3</c:v>
                </c:pt>
                <c:pt idx="191">
                  <c:v>-1.7450613378442521E-2</c:v>
                </c:pt>
                <c:pt idx="192">
                  <c:v>-9.7510438990510515E-3</c:v>
                </c:pt>
                <c:pt idx="193">
                  <c:v>-2.0260040006652201E-3</c:v>
                </c:pt>
                <c:pt idx="194">
                  <c:v>-4.8295773159302523E-3</c:v>
                </c:pt>
                <c:pt idx="195">
                  <c:v>-1.9863810092556012E-3</c:v>
                </c:pt>
                <c:pt idx="196">
                  <c:v>2.1987301629472579E-2</c:v>
                </c:pt>
                <c:pt idx="197">
                  <c:v>-6.4933083084465614E-3</c:v>
                </c:pt>
                <c:pt idx="198">
                  <c:v>-1.0558607107413109E-3</c:v>
                </c:pt>
                <c:pt idx="199">
                  <c:v>1.529914817435183E-2</c:v>
                </c:pt>
                <c:pt idx="200">
                  <c:v>5.4375903220604789E-3</c:v>
                </c:pt>
                <c:pt idx="201">
                  <c:v>1.2418275171790876E-2</c:v>
                </c:pt>
                <c:pt idx="202">
                  <c:v>7.9494899293028314E-3</c:v>
                </c:pt>
                <c:pt idx="203">
                  <c:v>-1.4926379500876783E-2</c:v>
                </c:pt>
                <c:pt idx="204">
                  <c:v>-6.1143361558614997E-3</c:v>
                </c:pt>
                <c:pt idx="205">
                  <c:v>3.3365980695794469E-3</c:v>
                </c:pt>
                <c:pt idx="206">
                  <c:v>8.0365699321025118E-3</c:v>
                </c:pt>
                <c:pt idx="207">
                  <c:v>-1.8079037301099193E-2</c:v>
                </c:pt>
                <c:pt idx="208">
                  <c:v>8.6019458672288579E-3</c:v>
                </c:pt>
                <c:pt idx="209">
                  <c:v>-5.821231449591964E-3</c:v>
                </c:pt>
                <c:pt idx="210">
                  <c:v>6.1290843228679615E-3</c:v>
                </c:pt>
                <c:pt idx="211">
                  <c:v>2.5916055199234319E-3</c:v>
                </c:pt>
                <c:pt idx="212">
                  <c:v>5.6684377008796825E-3</c:v>
                </c:pt>
                <c:pt idx="213">
                  <c:v>-1.9488067133483358E-2</c:v>
                </c:pt>
                <c:pt idx="214">
                  <c:v>-4.9850695802430584E-3</c:v>
                </c:pt>
                <c:pt idx="215">
                  <c:v>-8.7883722673955667E-3</c:v>
                </c:pt>
                <c:pt idx="216">
                  <c:v>-6.2977489636401626E-4</c:v>
                </c:pt>
                <c:pt idx="217">
                  <c:v>5.6503940394285919E-3</c:v>
                </c:pt>
                <c:pt idx="218">
                  <c:v>-2.1457546673210721E-2</c:v>
                </c:pt>
                <c:pt idx="219">
                  <c:v>-9.7952323731213386E-3</c:v>
                </c:pt>
                <c:pt idx="220">
                  <c:v>2.5395139362481872E-2</c:v>
                </c:pt>
                <c:pt idx="221">
                  <c:v>5.9972574882853052E-3</c:v>
                </c:pt>
                <c:pt idx="222">
                  <c:v>4.3727083638622928E-4</c:v>
                </c:pt>
                <c:pt idx="223">
                  <c:v>-9.0831724802130486E-3</c:v>
                </c:pt>
                <c:pt idx="224">
                  <c:v>4.0080219157192596E-3</c:v>
                </c:pt>
                <c:pt idx="225">
                  <c:v>1.717274400184556E-3</c:v>
                </c:pt>
                <c:pt idx="226">
                  <c:v>-1.0149474803590713E-3</c:v>
                </c:pt>
                <c:pt idx="227">
                  <c:v>9.8481528308352745E-3</c:v>
                </c:pt>
                <c:pt idx="228">
                  <c:v>-2.0112313179224694E-2</c:v>
                </c:pt>
                <c:pt idx="229">
                  <c:v>-1.3328818284483632E-2</c:v>
                </c:pt>
                <c:pt idx="230">
                  <c:v>-7.1388085437269697E-3</c:v>
                </c:pt>
                <c:pt idx="231">
                  <c:v>-1.7748377198727162E-2</c:v>
                </c:pt>
                <c:pt idx="232">
                  <c:v>-4.9870062416470266E-3</c:v>
                </c:pt>
                <c:pt idx="233">
                  <c:v>1.2390110813888021E-2</c:v>
                </c:pt>
                <c:pt idx="234">
                  <c:v>-4.6350861990990602E-3</c:v>
                </c:pt>
                <c:pt idx="235">
                  <c:v>2.1725520983738502E-3</c:v>
                </c:pt>
                <c:pt idx="236">
                  <c:v>-4.4839987064869587E-5</c:v>
                </c:pt>
                <c:pt idx="237">
                  <c:v>-2.7573147767901212E-3</c:v>
                </c:pt>
                <c:pt idx="238">
                  <c:v>-1.2194811818236062E-3</c:v>
                </c:pt>
                <c:pt idx="239">
                  <c:v>1.3589285234678018E-2</c:v>
                </c:pt>
                <c:pt idx="240">
                  <c:v>1.0077985730934502E-3</c:v>
                </c:pt>
                <c:pt idx="241">
                  <c:v>1.0413557800655414E-2</c:v>
                </c:pt>
                <c:pt idx="242">
                  <c:v>8.4770282800628281E-3</c:v>
                </c:pt>
                <c:pt idx="243">
                  <c:v>1.2558365280707307E-2</c:v>
                </c:pt>
                <c:pt idx="244">
                  <c:v>-1.9643008612916214E-2</c:v>
                </c:pt>
                <c:pt idx="245">
                  <c:v>4.8935095578149642E-3</c:v>
                </c:pt>
                <c:pt idx="246">
                  <c:v>-1.0754495185706918E-3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D9-46C4-B797-AB919FB71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183328"/>
        <c:axId val="1239191232"/>
      </c:scatterChart>
      <c:valAx>
        <c:axId val="1239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layout/>
          <c:overlay val="0"/>
        </c:title>
        <c:numFmt formatCode="0.000%" sourceLinked="1"/>
        <c:majorTickMark val="out"/>
        <c:minorTickMark val="none"/>
        <c:tickLblPos val="nextTo"/>
        <c:crossAx val="1239191232"/>
        <c:crosses val="autoZero"/>
        <c:crossBetween val="midCat"/>
      </c:valAx>
      <c:valAx>
        <c:axId val="1239191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  <c:overlay val="0"/>
        </c:title>
        <c:numFmt formatCode="0.00%" sourceLinked="1"/>
        <c:majorTickMark val="out"/>
        <c:minorTickMark val="none"/>
        <c:tickLblPos val="nextTo"/>
        <c:crossAx val="12391833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238125</xdr:colOff>
      <xdr:row>8</xdr:row>
      <xdr:rowOff>180975</xdr:rowOff>
    </xdr:from>
    <xdr:to>
      <xdr:col>28</xdr:col>
      <xdr:colOff>238125</xdr:colOff>
      <xdr:row>18</xdr:row>
      <xdr:rowOff>190500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4"/>
  <sheetViews>
    <sheetView topLeftCell="C246" workbookViewId="0">
      <selection activeCell="R258" sqref="R258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13.28515625" customWidth="1"/>
    <col min="6" max="8" width="12" bestFit="1" customWidth="1"/>
    <col min="12" max="12" width="12.7109375" bestFit="1" customWidth="1"/>
    <col min="13" max="13" width="12" bestFit="1" customWidth="1"/>
    <col min="17" max="18" width="12.7109375" bestFit="1" customWidth="1"/>
  </cols>
  <sheetData>
    <row r="1" spans="1:18" s="4" customFormat="1" ht="75" x14ac:dyDescent="0.25">
      <c r="A1" s="4" t="s">
        <v>0</v>
      </c>
      <c r="B1" s="4" t="s">
        <v>1</v>
      </c>
      <c r="C1" s="4" t="s">
        <v>7</v>
      </c>
      <c r="D1" s="4" t="s">
        <v>8</v>
      </c>
      <c r="E1" s="4" t="s">
        <v>2</v>
      </c>
      <c r="F1" s="4" t="s">
        <v>9</v>
      </c>
      <c r="G1" s="4" t="s">
        <v>10</v>
      </c>
      <c r="H1" s="4" t="s">
        <v>12</v>
      </c>
      <c r="J1" t="s">
        <v>71</v>
      </c>
      <c r="K1" s="4" t="s">
        <v>72</v>
      </c>
      <c r="L1" s="4" t="s">
        <v>10</v>
      </c>
      <c r="M1" s="4" t="s">
        <v>12</v>
      </c>
      <c r="O1" t="s">
        <v>81</v>
      </c>
      <c r="P1" s="4" t="s">
        <v>72</v>
      </c>
      <c r="Q1" s="4" t="s">
        <v>10</v>
      </c>
      <c r="R1" s="4" t="s">
        <v>12</v>
      </c>
    </row>
    <row r="2" spans="1:18" x14ac:dyDescent="0.25">
      <c r="A2" s="1">
        <v>45982</v>
      </c>
      <c r="B2" s="2">
        <v>3749.6</v>
      </c>
      <c r="C2" s="3">
        <f>(B2-B3)/B3</f>
        <v>8.8519385476363687E-3</v>
      </c>
      <c r="D2" s="3">
        <f>LN(B2/B3)</f>
        <v>8.8129898186936079E-3</v>
      </c>
      <c r="E2" s="7">
        <f>D2+1</f>
        <v>1.0088129898186937</v>
      </c>
      <c r="F2">
        <f>1/247</f>
        <v>4.048582995951417E-3</v>
      </c>
      <c r="G2" s="9">
        <f>D2*F2</f>
        <v>3.5680120723455901E-5</v>
      </c>
      <c r="H2" s="13">
        <f>(D2-$G$254)^2*F2</f>
        <v>2.5723946390466417E-7</v>
      </c>
      <c r="J2">
        <v>244.49</v>
      </c>
      <c r="K2" s="3">
        <f>LN(J2/J3)</f>
        <v>-7.2134800817190781E-3</v>
      </c>
      <c r="L2">
        <f>K2*F2</f>
        <v>-2.9204372800482098E-5</v>
      </c>
      <c r="M2">
        <f>(K2-$L$254)^2*F2</f>
        <v>1.713277592691307E-7</v>
      </c>
      <c r="O2" s="2">
        <v>1291.4000000000001</v>
      </c>
      <c r="P2" s="3">
        <f>LN(O2/O3)</f>
        <v>-1.7272912455409874E-2</v>
      </c>
      <c r="Q2">
        <f>P2*F2</f>
        <v>-6.9930819657529854E-5</v>
      </c>
      <c r="R2">
        <f>(P2-$Q$254)^2*F2</f>
        <v>1.0848102225668679E-6</v>
      </c>
    </row>
    <row r="3" spans="1:18" x14ac:dyDescent="0.25">
      <c r="A3" s="1">
        <v>45981</v>
      </c>
      <c r="B3" s="2">
        <v>3716.7</v>
      </c>
      <c r="C3" s="3">
        <f t="shared" ref="C3:C66" si="0">(B3-B4)/B4</f>
        <v>-1.5580926796508212E-3</v>
      </c>
      <c r="D3" s="3">
        <f t="shared" ref="D3:D66" si="1">LN(B3/B4)</f>
        <v>-1.5593077683612132E-3</v>
      </c>
      <c r="E3" s="7">
        <f t="shared" ref="E3:E66" si="2">D3+1</f>
        <v>0.99844069223163878</v>
      </c>
      <c r="F3">
        <f t="shared" ref="F3:F66" si="3">1/247</f>
        <v>4.048582995951417E-3</v>
      </c>
      <c r="G3" s="9">
        <f t="shared" ref="G3:G66" si="4">D3*F3</f>
        <v>-6.3129869164421587E-6</v>
      </c>
      <c r="H3" s="13">
        <f t="shared" ref="H3:H66" si="5">(D3-$G$254)^2*F3</f>
        <v>2.334346759604603E-8</v>
      </c>
      <c r="J3">
        <v>246.26</v>
      </c>
      <c r="K3" s="3">
        <f t="shared" ref="K3:K66" si="6">LN(J3/J4)</f>
        <v>7.7184006431651412E-4</v>
      </c>
      <c r="L3">
        <f t="shared" ref="L3:L66" si="7">K3*F3</f>
        <v>3.1248585599858871E-6</v>
      </c>
      <c r="M3">
        <f t="shared" ref="M3:M66" si="8">(K3-$L$254)^2*F3</f>
        <v>8.869152537967053E-9</v>
      </c>
      <c r="O3" s="2">
        <v>1313.9</v>
      </c>
      <c r="P3" s="3">
        <f t="shared" ref="P3:P66" si="9">LN(O3/O4)</f>
        <v>1.002035385423042E-2</v>
      </c>
      <c r="Q3">
        <f t="shared" ref="Q3:Q66" si="10">P3*F3</f>
        <v>4.0568234227653524E-5</v>
      </c>
      <c r="R3">
        <f t="shared" ref="R3:R66" si="11">(P3-$Q$254)^2*F3</f>
        <v>4.8314554238879629E-7</v>
      </c>
    </row>
    <row r="4" spans="1:18" x14ac:dyDescent="0.25">
      <c r="A4" s="1">
        <v>45980</v>
      </c>
      <c r="B4" s="2">
        <v>3722.5</v>
      </c>
      <c r="C4" s="3">
        <f t="shared" si="0"/>
        <v>7.4970228429143164E-3</v>
      </c>
      <c r="D4" s="3">
        <f t="shared" si="1"/>
        <v>7.4690598397089986E-3</v>
      </c>
      <c r="E4" s="7">
        <f t="shared" si="2"/>
        <v>1.0074690598397089</v>
      </c>
      <c r="F4">
        <f t="shared" si="3"/>
        <v>4.048582995951417E-3</v>
      </c>
      <c r="G4" s="9">
        <f t="shared" si="4"/>
        <v>3.023910866278947E-5</v>
      </c>
      <c r="H4" s="13">
        <f t="shared" si="5"/>
        <v>1.7781029698668151E-7</v>
      </c>
      <c r="J4">
        <v>246.07</v>
      </c>
      <c r="K4" s="3">
        <f t="shared" si="6"/>
        <v>2.1234138679583001E-2</v>
      </c>
      <c r="L4">
        <f t="shared" si="7"/>
        <v>8.596817279183401E-5</v>
      </c>
      <c r="M4">
        <f t="shared" si="8"/>
        <v>1.9492657071992348E-6</v>
      </c>
      <c r="O4" s="2">
        <v>1300.8</v>
      </c>
      <c r="P4" s="3">
        <f t="shared" si="9"/>
        <v>-9.4112940714131104E-3</v>
      </c>
      <c r="Q4">
        <f t="shared" si="10"/>
        <v>-3.81024051474215E-5</v>
      </c>
      <c r="R4">
        <f t="shared" si="11"/>
        <v>2.9302672932993989E-7</v>
      </c>
    </row>
    <row r="5" spans="1:18" x14ac:dyDescent="0.25">
      <c r="A5" s="1">
        <v>45979</v>
      </c>
      <c r="B5" s="2">
        <v>3694.8</v>
      </c>
      <c r="C5" s="3">
        <f t="shared" si="0"/>
        <v>-1.0736565905378968E-2</v>
      </c>
      <c r="D5" s="3">
        <f t="shared" si="1"/>
        <v>-1.0794618728325581E-2</v>
      </c>
      <c r="E5" s="7">
        <f t="shared" si="2"/>
        <v>0.98920538127167446</v>
      </c>
      <c r="F5">
        <f t="shared" si="3"/>
        <v>4.048582995951417E-3</v>
      </c>
      <c r="G5" s="9">
        <f t="shared" si="4"/>
        <v>-4.3702909831277656E-5</v>
      </c>
      <c r="H5" s="13">
        <f t="shared" si="5"/>
        <v>5.4821356701269086E-7</v>
      </c>
      <c r="J5">
        <v>240.9</v>
      </c>
      <c r="K5" s="3">
        <f t="shared" si="6"/>
        <v>-1.2991212712330856E-2</v>
      </c>
      <c r="L5">
        <f t="shared" si="7"/>
        <v>-5.2596002883930592E-5</v>
      </c>
      <c r="M5">
        <f t="shared" si="8"/>
        <v>6.108139925468237E-7</v>
      </c>
      <c r="O5" s="2">
        <v>1313.1</v>
      </c>
      <c r="P5" s="3">
        <f t="shared" si="9"/>
        <v>2.3636166697620022E-3</v>
      </c>
      <c r="Q5">
        <f t="shared" si="10"/>
        <v>9.5692982581457585E-6</v>
      </c>
      <c r="R5">
        <f t="shared" si="11"/>
        <v>4.3222491195171223E-8</v>
      </c>
    </row>
    <row r="6" spans="1:18" x14ac:dyDescent="0.25">
      <c r="A6" s="1">
        <v>45978</v>
      </c>
      <c r="B6" s="2">
        <v>3734.9</v>
      </c>
      <c r="C6" s="3">
        <f t="shared" si="0"/>
        <v>9.8145244146434288E-3</v>
      </c>
      <c r="D6" s="3">
        <f t="shared" si="1"/>
        <v>9.7666747960045083E-3</v>
      </c>
      <c r="E6" s="7">
        <f t="shared" si="2"/>
        <v>1.0097666747960046</v>
      </c>
      <c r="F6">
        <f t="shared" si="3"/>
        <v>4.048582995951417E-3</v>
      </c>
      <c r="G6" s="9">
        <f t="shared" si="4"/>
        <v>3.9541193506091128E-5</v>
      </c>
      <c r="H6" s="13">
        <f t="shared" si="5"/>
        <v>3.2247556620774221E-7</v>
      </c>
      <c r="J6">
        <v>244.05</v>
      </c>
      <c r="K6" s="3">
        <f t="shared" si="6"/>
        <v>-1.3103478391014551E-3</v>
      </c>
      <c r="L6">
        <f t="shared" si="7"/>
        <v>-5.3050519801678346E-6</v>
      </c>
      <c r="M6">
        <f t="shared" si="8"/>
        <v>1.467676440567928E-9</v>
      </c>
      <c r="O6" s="2">
        <v>1310</v>
      </c>
      <c r="P6" s="3">
        <f t="shared" si="9"/>
        <v>6.8939376826920385E-3</v>
      </c>
      <c r="Q6">
        <f t="shared" si="10"/>
        <v>2.7910678877295703E-5</v>
      </c>
      <c r="R6">
        <f t="shared" si="11"/>
        <v>2.4617238236197958E-7</v>
      </c>
    </row>
    <row r="7" spans="1:18" x14ac:dyDescent="0.25">
      <c r="A7" s="1">
        <v>45975</v>
      </c>
      <c r="B7" s="2">
        <v>3698.6</v>
      </c>
      <c r="C7" s="3">
        <f t="shared" si="0"/>
        <v>-2.432761183944022E-4</v>
      </c>
      <c r="D7" s="3">
        <f t="shared" si="1"/>
        <v>-2.4330571482942276E-4</v>
      </c>
      <c r="E7" s="7">
        <f t="shared" si="2"/>
        <v>0.99975669428517056</v>
      </c>
      <c r="F7">
        <f t="shared" si="3"/>
        <v>4.048582995951417E-3</v>
      </c>
      <c r="G7" s="9">
        <f t="shared" si="4"/>
        <v>-9.8504337987620562E-7</v>
      </c>
      <c r="H7" s="13">
        <f t="shared" si="5"/>
        <v>4.7679696520257168E-9</v>
      </c>
      <c r="J7">
        <v>244.37</v>
      </c>
      <c r="K7" s="3">
        <f t="shared" si="6"/>
        <v>-3.9207728396833536E-3</v>
      </c>
      <c r="L7">
        <f t="shared" si="7"/>
        <v>-1.5873574249730177E-5</v>
      </c>
      <c r="M7">
        <f t="shared" si="8"/>
        <v>4.178247950823884E-8</v>
      </c>
      <c r="O7" s="2">
        <v>1301</v>
      </c>
      <c r="P7" s="3">
        <f t="shared" si="9"/>
        <v>5.7041702496082565E-3</v>
      </c>
      <c r="Q7">
        <f t="shared" si="10"/>
        <v>2.3093806678575938E-5</v>
      </c>
      <c r="R7">
        <f t="shared" si="11"/>
        <v>1.7678201141955444E-7</v>
      </c>
    </row>
    <row r="8" spans="1:18" x14ac:dyDescent="0.25">
      <c r="A8" s="1">
        <v>45974</v>
      </c>
      <c r="B8" s="2">
        <v>3699.5</v>
      </c>
      <c r="C8" s="3">
        <f t="shared" si="0"/>
        <v>-1.4596595903364189E-2</v>
      </c>
      <c r="D8" s="3">
        <f t="shared" si="1"/>
        <v>-1.470417434542628E-2</v>
      </c>
      <c r="E8" s="7">
        <f t="shared" si="2"/>
        <v>0.98529582565457374</v>
      </c>
      <c r="F8">
        <f t="shared" si="3"/>
        <v>4.048582995951417E-3</v>
      </c>
      <c r="G8" s="9">
        <f t="shared" si="4"/>
        <v>-5.9531070224397894E-5</v>
      </c>
      <c r="H8" s="13">
        <f t="shared" si="5"/>
        <v>9.7846425891904237E-7</v>
      </c>
      <c r="J8">
        <v>245.33</v>
      </c>
      <c r="K8" s="3">
        <f t="shared" si="6"/>
        <v>4.4847620770046436E-4</v>
      </c>
      <c r="L8">
        <f t="shared" si="7"/>
        <v>1.815693148584876E-6</v>
      </c>
      <c r="M8">
        <f t="shared" si="8"/>
        <v>5.4171114258627239E-9</v>
      </c>
      <c r="O8" s="2">
        <v>1293.5999999999999</v>
      </c>
      <c r="P8" s="3">
        <f t="shared" si="9"/>
        <v>6.1862049606610221E-4</v>
      </c>
      <c r="Q8">
        <f t="shared" si="10"/>
        <v>2.5045364213202519E-6</v>
      </c>
      <c r="R8">
        <f t="shared" si="11"/>
        <v>9.3835542610339335E-9</v>
      </c>
    </row>
    <row r="9" spans="1:18" x14ac:dyDescent="0.25">
      <c r="A9" s="1">
        <v>45973</v>
      </c>
      <c r="B9" s="2">
        <v>3754.3</v>
      </c>
      <c r="C9" s="3">
        <f t="shared" si="0"/>
        <v>1.3869995465579134E-3</v>
      </c>
      <c r="D9" s="3">
        <f t="shared" si="1"/>
        <v>1.3860385511842454E-3</v>
      </c>
      <c r="E9" s="7">
        <f t="shared" si="2"/>
        <v>1.0013860385511844</v>
      </c>
      <c r="F9">
        <f t="shared" si="3"/>
        <v>4.048582995951417E-3</v>
      </c>
      <c r="G9" s="9">
        <f t="shared" si="4"/>
        <v>5.6114921100576736E-6</v>
      </c>
      <c r="H9" s="13">
        <f t="shared" si="5"/>
        <v>1.1986972006437768E-9</v>
      </c>
      <c r="J9">
        <v>245.22</v>
      </c>
      <c r="K9" s="3">
        <f t="shared" si="6"/>
        <v>1.4499853554355546E-2</v>
      </c>
      <c r="L9">
        <f t="shared" si="7"/>
        <v>5.8703860543949579E-5</v>
      </c>
      <c r="M9">
        <f t="shared" si="8"/>
        <v>9.3638282743699405E-7</v>
      </c>
      <c r="O9" s="2">
        <v>1292.8</v>
      </c>
      <c r="P9" s="3">
        <f t="shared" si="9"/>
        <v>-3.3468289514353038E-2</v>
      </c>
      <c r="Q9">
        <f t="shared" si="10"/>
        <v>-1.3549914783138881E-4</v>
      </c>
      <c r="R9">
        <f t="shared" si="11"/>
        <v>4.2933058264186856E-6</v>
      </c>
    </row>
    <row r="10" spans="1:18" x14ac:dyDescent="0.25">
      <c r="A10" s="1">
        <v>45972</v>
      </c>
      <c r="B10" s="2">
        <v>3749.1</v>
      </c>
      <c r="C10" s="3">
        <f t="shared" si="0"/>
        <v>2.3253909768279651E-2</v>
      </c>
      <c r="D10" s="3">
        <f t="shared" si="1"/>
        <v>2.2987657314695008E-2</v>
      </c>
      <c r="E10" s="7">
        <f t="shared" si="2"/>
        <v>1.022987657314695</v>
      </c>
      <c r="F10">
        <f t="shared" si="3"/>
        <v>4.048582995951417E-3</v>
      </c>
      <c r="G10" s="9">
        <f t="shared" si="4"/>
        <v>9.3067438521032416E-5</v>
      </c>
      <c r="H10" s="13">
        <f t="shared" si="5"/>
        <v>1.9855636392249737E-6</v>
      </c>
      <c r="J10">
        <v>241.69</v>
      </c>
      <c r="K10" s="3">
        <f t="shared" si="6"/>
        <v>7.6838788955976732E-3</v>
      </c>
      <c r="L10">
        <f t="shared" si="7"/>
        <v>3.1108821439666695E-5</v>
      </c>
      <c r="M10">
        <f t="shared" si="8"/>
        <v>2.8513322763101659E-7</v>
      </c>
      <c r="O10" s="2">
        <v>1336.8</v>
      </c>
      <c r="P10" s="3">
        <f t="shared" si="9"/>
        <v>1.8573580370406729E-2</v>
      </c>
      <c r="Q10">
        <f t="shared" si="10"/>
        <v>7.5196681661565711E-5</v>
      </c>
      <c r="R10">
        <f t="shared" si="11"/>
        <v>1.5359028747950758E-6</v>
      </c>
    </row>
    <row r="11" spans="1:18" x14ac:dyDescent="0.25">
      <c r="A11" s="1">
        <v>45971</v>
      </c>
      <c r="B11" s="2">
        <v>3663.9</v>
      </c>
      <c r="C11" s="3">
        <f t="shared" si="0"/>
        <v>-7.1269849872634891E-3</v>
      </c>
      <c r="D11" s="3">
        <f t="shared" si="1"/>
        <v>-7.152503262629388E-3</v>
      </c>
      <c r="E11" s="7">
        <f t="shared" si="2"/>
        <v>0.99284749673737061</v>
      </c>
      <c r="F11">
        <f t="shared" si="3"/>
        <v>4.048582995951417E-3</v>
      </c>
      <c r="G11" s="9">
        <f t="shared" si="4"/>
        <v>-2.8957503087568374E-5</v>
      </c>
      <c r="H11" s="13">
        <f t="shared" si="5"/>
        <v>2.5874740568988617E-7</v>
      </c>
      <c r="J11">
        <v>239.84</v>
      </c>
      <c r="K11" s="3">
        <f t="shared" si="6"/>
        <v>1.4066110614360992E-2</v>
      </c>
      <c r="L11">
        <f t="shared" si="7"/>
        <v>5.6947816252473655E-5</v>
      </c>
      <c r="M11">
        <f t="shared" si="8"/>
        <v>8.8373227568594113E-7</v>
      </c>
      <c r="O11" s="2">
        <v>1312.2</v>
      </c>
      <c r="P11" s="3">
        <f t="shared" si="9"/>
        <v>2.3907979175774065E-2</v>
      </c>
      <c r="Q11">
        <f t="shared" si="10"/>
        <v>9.679343795859946E-5</v>
      </c>
      <c r="R11">
        <f t="shared" si="11"/>
        <v>2.492404687532216E-6</v>
      </c>
    </row>
    <row r="12" spans="1:18" x14ac:dyDescent="0.25">
      <c r="A12" s="1">
        <v>45968</v>
      </c>
      <c r="B12" s="2">
        <v>3690.2</v>
      </c>
      <c r="C12" s="3">
        <f t="shared" si="0"/>
        <v>1.9814840403482057E-2</v>
      </c>
      <c r="D12" s="3">
        <f t="shared" si="1"/>
        <v>1.9621081801599636E-2</v>
      </c>
      <c r="E12" s="7">
        <f t="shared" si="2"/>
        <v>1.0196210818015996</v>
      </c>
      <c r="F12">
        <f t="shared" si="3"/>
        <v>4.048582995951417E-3</v>
      </c>
      <c r="G12" s="9">
        <f t="shared" si="4"/>
        <v>7.9437578144128077E-5</v>
      </c>
      <c r="H12" s="13">
        <f t="shared" si="5"/>
        <v>1.4277626474112388E-6</v>
      </c>
      <c r="J12">
        <v>236.49</v>
      </c>
      <c r="K12" s="3">
        <f t="shared" si="6"/>
        <v>-1.4941311237022836E-2</v>
      </c>
      <c r="L12">
        <f t="shared" si="7"/>
        <v>-6.0491138611428488E-5</v>
      </c>
      <c r="M12">
        <f t="shared" si="8"/>
        <v>8.2016152548335795E-7</v>
      </c>
      <c r="O12" s="2">
        <v>1281.2</v>
      </c>
      <c r="P12" s="3">
        <f t="shared" si="9"/>
        <v>6.2637223270653594E-3</v>
      </c>
      <c r="Q12">
        <f t="shared" si="10"/>
        <v>2.5359199704718056E-5</v>
      </c>
      <c r="R12">
        <f t="shared" si="11"/>
        <v>2.0798887715239438E-7</v>
      </c>
    </row>
    <row r="13" spans="1:18" x14ac:dyDescent="0.25">
      <c r="A13" s="1">
        <v>45967</v>
      </c>
      <c r="B13" s="2">
        <v>3618.5</v>
      </c>
      <c r="C13" s="3">
        <f t="shared" si="0"/>
        <v>1.0415503183290568E-2</v>
      </c>
      <c r="D13" s="3">
        <f t="shared" si="1"/>
        <v>1.0361635546181585E-2</v>
      </c>
      <c r="E13" s="7">
        <f t="shared" si="2"/>
        <v>1.0103616355461815</v>
      </c>
      <c r="F13">
        <f t="shared" si="3"/>
        <v>4.048582995951417E-3</v>
      </c>
      <c r="G13" s="9">
        <f t="shared" si="4"/>
        <v>4.1949941482516542E-5</v>
      </c>
      <c r="H13" s="13">
        <f t="shared" si="5"/>
        <v>3.6690370530277794E-7</v>
      </c>
      <c r="J13">
        <v>240.05</v>
      </c>
      <c r="K13" s="3">
        <f t="shared" si="6"/>
        <v>8.9127522651044292E-3</v>
      </c>
      <c r="L13">
        <f t="shared" si="7"/>
        <v>3.6084017267629271E-5</v>
      </c>
      <c r="M13">
        <f t="shared" si="8"/>
        <v>3.7475212995350698E-7</v>
      </c>
      <c r="O13" s="2">
        <v>1273.2</v>
      </c>
      <c r="P13" s="3">
        <f t="shared" si="9"/>
        <v>-2.4133081968299632E-2</v>
      </c>
      <c r="Q13">
        <f t="shared" si="10"/>
        <v>-9.7704785296759639E-5</v>
      </c>
      <c r="R13">
        <f t="shared" si="11"/>
        <v>2.1846151478095825E-6</v>
      </c>
    </row>
    <row r="14" spans="1:18" x14ac:dyDescent="0.25">
      <c r="A14" s="1">
        <v>45965</v>
      </c>
      <c r="B14" s="2">
        <v>3581.2</v>
      </c>
      <c r="C14" s="3">
        <f t="shared" si="0"/>
        <v>9.1014117050352856E-3</v>
      </c>
      <c r="D14" s="3">
        <f t="shared" si="1"/>
        <v>9.0602434617359229E-3</v>
      </c>
      <c r="E14" s="7">
        <f t="shared" si="2"/>
        <v>1.009060243461736</v>
      </c>
      <c r="F14">
        <f t="shared" si="3"/>
        <v>4.048582995951417E-3</v>
      </c>
      <c r="G14" s="9">
        <f t="shared" si="4"/>
        <v>3.6681147618364062E-5</v>
      </c>
      <c r="H14" s="13">
        <f t="shared" si="5"/>
        <v>2.7344550629457811E-7</v>
      </c>
      <c r="J14">
        <v>237.92</v>
      </c>
      <c r="K14" s="3">
        <f t="shared" si="6"/>
        <v>-1.0785606833971007E-2</v>
      </c>
      <c r="L14">
        <f t="shared" si="7"/>
        <v>-4.3666424429032418E-5</v>
      </c>
      <c r="M14">
        <f t="shared" si="8"/>
        <v>4.1114584981817051E-7</v>
      </c>
      <c r="O14" s="2">
        <v>1304.3</v>
      </c>
      <c r="P14" s="3">
        <f t="shared" si="9"/>
        <v>-3.0578804718168491E-2</v>
      </c>
      <c r="Q14">
        <f t="shared" si="10"/>
        <v>-1.238008288184959E-4</v>
      </c>
      <c r="R14">
        <f t="shared" si="11"/>
        <v>3.5652081658688877E-6</v>
      </c>
    </row>
    <row r="15" spans="1:18" x14ac:dyDescent="0.25">
      <c r="A15" s="1">
        <v>45964</v>
      </c>
      <c r="B15" s="2">
        <v>3548.9</v>
      </c>
      <c r="C15" s="3">
        <f t="shared" si="0"/>
        <v>1.7693278274833756E-2</v>
      </c>
      <c r="D15" s="3">
        <f t="shared" si="1"/>
        <v>1.7538574374082128E-2</v>
      </c>
      <c r="E15" s="7">
        <f t="shared" si="2"/>
        <v>1.0175385743740821</v>
      </c>
      <c r="F15">
        <f t="shared" si="3"/>
        <v>4.048582995951417E-3</v>
      </c>
      <c r="G15" s="9">
        <f t="shared" si="4"/>
        <v>7.1006373984138163E-5</v>
      </c>
      <c r="H15" s="13">
        <f t="shared" si="5"/>
        <v>1.128658593790363E-6</v>
      </c>
      <c r="J15">
        <v>240.5</v>
      </c>
      <c r="K15" s="3">
        <f t="shared" si="6"/>
        <v>-7.0661099849700013E-4</v>
      </c>
      <c r="L15">
        <f t="shared" si="7"/>
        <v>-2.8607732732672068E-6</v>
      </c>
      <c r="M15">
        <f t="shared" si="8"/>
        <v>1.0939022069321451E-14</v>
      </c>
      <c r="O15" s="2">
        <v>1344.8</v>
      </c>
      <c r="P15" s="3">
        <f t="shared" si="9"/>
        <v>2.1268603158041827E-2</v>
      </c>
      <c r="Q15">
        <f t="shared" si="10"/>
        <v>8.6107705093286743E-5</v>
      </c>
      <c r="R15">
        <f t="shared" si="11"/>
        <v>1.990344450565671E-6</v>
      </c>
    </row>
    <row r="16" spans="1:18" x14ac:dyDescent="0.25">
      <c r="A16" s="1">
        <v>45961</v>
      </c>
      <c r="B16" s="2">
        <v>3487.2</v>
      </c>
      <c r="C16" s="3">
        <f t="shared" si="0"/>
        <v>-4.254590103081035E-3</v>
      </c>
      <c r="D16" s="3">
        <f t="shared" si="1"/>
        <v>-4.2636666252898617E-3</v>
      </c>
      <c r="E16" s="7">
        <f t="shared" si="2"/>
        <v>0.99573633337471013</v>
      </c>
      <c r="F16">
        <f t="shared" si="3"/>
        <v>4.048582995951417E-3</v>
      </c>
      <c r="G16" s="9">
        <f t="shared" si="4"/>
        <v>-1.7261808199554098E-5</v>
      </c>
      <c r="H16" s="13">
        <f t="shared" si="5"/>
        <v>1.0553397097090027E-7</v>
      </c>
      <c r="J16">
        <v>240.67</v>
      </c>
      <c r="K16" s="3">
        <f t="shared" si="6"/>
        <v>-5.1803924468552653E-3</v>
      </c>
      <c r="L16">
        <f t="shared" si="7"/>
        <v>-2.0973248772693381E-5</v>
      </c>
      <c r="M16">
        <f t="shared" si="8"/>
        <v>8.0971722780256578E-8</v>
      </c>
      <c r="O16" s="2">
        <v>1316.5</v>
      </c>
      <c r="P16" s="3">
        <f t="shared" si="9"/>
        <v>3.7986705110148149E-4</v>
      </c>
      <c r="Q16">
        <f t="shared" si="10"/>
        <v>1.5379232838116659E-6</v>
      </c>
      <c r="R16">
        <f t="shared" si="11"/>
        <v>6.6711698487255481E-9</v>
      </c>
    </row>
    <row r="17" spans="1:18" x14ac:dyDescent="0.25">
      <c r="A17" s="1">
        <v>45960</v>
      </c>
      <c r="B17" s="2">
        <v>3502.1</v>
      </c>
      <c r="C17" s="3">
        <f t="shared" si="0"/>
        <v>-9.2228477664299414E-3</v>
      </c>
      <c r="D17" s="3">
        <f t="shared" si="1"/>
        <v>-9.2656415504890344E-3</v>
      </c>
      <c r="E17" s="7">
        <f t="shared" si="2"/>
        <v>0.99073435844951097</v>
      </c>
      <c r="F17">
        <f t="shared" si="3"/>
        <v>4.048582995951417E-3</v>
      </c>
      <c r="G17" s="9">
        <f t="shared" si="4"/>
        <v>-3.7512718827890829E-5</v>
      </c>
      <c r="H17" s="13">
        <f t="shared" si="5"/>
        <v>4.1361358338184402E-7</v>
      </c>
      <c r="J17">
        <v>241.92</v>
      </c>
      <c r="K17" s="3">
        <f t="shared" si="6"/>
        <v>-1.4869891215783669E-3</v>
      </c>
      <c r="L17">
        <f t="shared" si="7"/>
        <v>-6.0201988727869111E-6</v>
      </c>
      <c r="M17">
        <f t="shared" si="8"/>
        <v>2.4551708998551811E-9</v>
      </c>
      <c r="O17" s="2">
        <v>1316</v>
      </c>
      <c r="P17" s="3">
        <f t="shared" si="9"/>
        <v>1.8253731870987808E-3</v>
      </c>
      <c r="Q17">
        <f t="shared" si="10"/>
        <v>7.3901748465537686E-6</v>
      </c>
      <c r="R17">
        <f t="shared" si="11"/>
        <v>3.0155219442096626E-8</v>
      </c>
    </row>
    <row r="18" spans="1:18" x14ac:dyDescent="0.25">
      <c r="A18" s="1">
        <v>45959</v>
      </c>
      <c r="B18" s="2">
        <v>3534.7</v>
      </c>
      <c r="C18" s="3">
        <f t="shared" si="0"/>
        <v>-1.2405353301109243E-2</v>
      </c>
      <c r="D18" s="3">
        <f t="shared" si="1"/>
        <v>-1.2482942041305137E-2</v>
      </c>
      <c r="E18" s="7">
        <f t="shared" si="2"/>
        <v>0.98751705795869482</v>
      </c>
      <c r="F18">
        <f t="shared" si="3"/>
        <v>4.048582995951417E-3</v>
      </c>
      <c r="G18" s="9">
        <f t="shared" si="4"/>
        <v>-5.0538226887875048E-5</v>
      </c>
      <c r="H18" s="13">
        <f t="shared" si="5"/>
        <v>7.188324894950661E-7</v>
      </c>
      <c r="J18">
        <v>242.28</v>
      </c>
      <c r="K18" s="3">
        <f t="shared" si="6"/>
        <v>-4.1266042759484291E-4</v>
      </c>
      <c r="L18">
        <f t="shared" si="7"/>
        <v>-1.6706899902625218E-6</v>
      </c>
      <c r="M18">
        <f t="shared" si="8"/>
        <v>3.5374901593273361E-10</v>
      </c>
      <c r="O18" s="2">
        <v>1313.6</v>
      </c>
      <c r="P18" s="3">
        <f t="shared" si="9"/>
        <v>2.8101277857536727E-2</v>
      </c>
      <c r="Q18">
        <f t="shared" si="10"/>
        <v>1.1377035569852926E-4</v>
      </c>
      <c r="R18">
        <f t="shared" si="11"/>
        <v>3.4060487495264947E-6</v>
      </c>
    </row>
    <row r="19" spans="1:18" x14ac:dyDescent="0.25">
      <c r="A19" s="1">
        <v>45958</v>
      </c>
      <c r="B19" s="2">
        <v>3579.1</v>
      </c>
      <c r="C19" s="3">
        <f t="shared" si="0"/>
        <v>-8.9987817034001549E-3</v>
      </c>
      <c r="D19" s="3">
        <f t="shared" si="1"/>
        <v>-9.0395152920572808E-3</v>
      </c>
      <c r="E19" s="7">
        <f t="shared" si="2"/>
        <v>0.99096048470794273</v>
      </c>
      <c r="F19">
        <f t="shared" si="3"/>
        <v>4.048582995951417E-3</v>
      </c>
      <c r="G19" s="9">
        <f t="shared" si="4"/>
        <v>-3.6597227903065915E-5</v>
      </c>
      <c r="H19" s="13">
        <f t="shared" si="5"/>
        <v>3.953138604033674E-7</v>
      </c>
      <c r="J19">
        <v>242.38</v>
      </c>
      <c r="K19" s="3">
        <f t="shared" si="6"/>
        <v>-6.292562251043585E-3</v>
      </c>
      <c r="L19">
        <f t="shared" si="7"/>
        <v>-2.547596053054083E-5</v>
      </c>
      <c r="M19">
        <f t="shared" si="8"/>
        <v>1.2625299676171198E-7</v>
      </c>
      <c r="O19" s="2">
        <v>1277.2</v>
      </c>
      <c r="P19" s="3">
        <f t="shared" si="9"/>
        <v>-3.4248604923134043E-2</v>
      </c>
      <c r="Q19">
        <f t="shared" si="10"/>
        <v>-1.3865831952685848E-4</v>
      </c>
      <c r="R19">
        <f t="shared" si="11"/>
        <v>4.5015246583752596E-6</v>
      </c>
    </row>
    <row r="20" spans="1:18" x14ac:dyDescent="0.25">
      <c r="A20" s="1">
        <v>45957</v>
      </c>
      <c r="B20" s="2">
        <v>3611.6</v>
      </c>
      <c r="C20" s="3">
        <f t="shared" si="0"/>
        <v>-3.6965517241379559E-3</v>
      </c>
      <c r="D20" s="3">
        <f t="shared" si="1"/>
        <v>-3.7034008554510693E-3</v>
      </c>
      <c r="E20" s="7">
        <f t="shared" si="2"/>
        <v>0.99629659914454893</v>
      </c>
      <c r="F20">
        <f t="shared" si="3"/>
        <v>4.048582995951417E-3</v>
      </c>
      <c r="G20" s="9">
        <f t="shared" si="4"/>
        <v>-1.4993525730571131E-5</v>
      </c>
      <c r="H20" s="13">
        <f t="shared" si="5"/>
        <v>8.3643041794249566E-8</v>
      </c>
      <c r="J20">
        <v>243.91</v>
      </c>
      <c r="K20" s="3">
        <f t="shared" si="6"/>
        <v>3.8201693647888775E-3</v>
      </c>
      <c r="L20">
        <f t="shared" si="7"/>
        <v>1.5466272731938776E-5</v>
      </c>
      <c r="M20">
        <f t="shared" si="8"/>
        <v>8.3022773348088652E-8</v>
      </c>
      <c r="O20" s="2">
        <v>1321.7</v>
      </c>
      <c r="P20" s="3">
        <f t="shared" si="9"/>
        <v>-3.0972640435300638E-3</v>
      </c>
      <c r="Q20">
        <f t="shared" si="10"/>
        <v>-1.2539530540607546E-5</v>
      </c>
      <c r="R20">
        <f t="shared" si="11"/>
        <v>1.9479037860164672E-8</v>
      </c>
    </row>
    <row r="21" spans="1:18" x14ac:dyDescent="0.25">
      <c r="A21" s="1">
        <v>45954</v>
      </c>
      <c r="B21" s="2">
        <v>3625</v>
      </c>
      <c r="C21" s="3">
        <f t="shared" si="0"/>
        <v>3.8635610994593525E-4</v>
      </c>
      <c r="D21" s="3">
        <f t="shared" si="1"/>
        <v>3.8628149364248489E-4</v>
      </c>
      <c r="E21" s="7">
        <f t="shared" si="2"/>
        <v>1.0003862814936424</v>
      </c>
      <c r="F21">
        <f t="shared" si="3"/>
        <v>4.048582995951417E-3</v>
      </c>
      <c r="G21" s="9">
        <f t="shared" si="4"/>
        <v>1.5638926868116798E-6</v>
      </c>
      <c r="H21" s="13">
        <f t="shared" si="5"/>
        <v>8.4046715046007394E-10</v>
      </c>
      <c r="J21">
        <v>242.98</v>
      </c>
      <c r="K21" s="3">
        <f t="shared" si="6"/>
        <v>-5.4178428370987497E-3</v>
      </c>
      <c r="L21">
        <f t="shared" si="7"/>
        <v>-2.1934586385015181E-5</v>
      </c>
      <c r="M21">
        <f t="shared" si="8"/>
        <v>8.9798461111022699E-8</v>
      </c>
      <c r="O21" s="2">
        <v>1325.8</v>
      </c>
      <c r="P21" s="3">
        <f t="shared" si="9"/>
        <v>-1.9591596953004581E-3</v>
      </c>
      <c r="Q21">
        <f t="shared" si="10"/>
        <v>-7.9318206287467941E-6</v>
      </c>
      <c r="R21">
        <f t="shared" si="11"/>
        <v>4.5093210257365086E-9</v>
      </c>
    </row>
    <row r="22" spans="1:18" x14ac:dyDescent="0.25">
      <c r="A22" s="1">
        <v>45953</v>
      </c>
      <c r="B22" s="2">
        <v>3623.6</v>
      </c>
      <c r="C22" s="3">
        <f t="shared" si="0"/>
        <v>6.627637247321581E-4</v>
      </c>
      <c r="D22" s="3">
        <f t="shared" si="1"/>
        <v>6.6254419384736832E-4</v>
      </c>
      <c r="E22" s="7">
        <f t="shared" si="2"/>
        <v>1.0006625441938473</v>
      </c>
      <c r="F22">
        <f t="shared" si="3"/>
        <v>4.048582995951417E-3</v>
      </c>
      <c r="G22" s="9">
        <f t="shared" si="4"/>
        <v>2.6823651572767948E-6</v>
      </c>
      <c r="H22" s="13">
        <f t="shared" si="5"/>
        <v>1.302482789890568E-10</v>
      </c>
      <c r="J22">
        <v>244.3</v>
      </c>
      <c r="K22" s="3">
        <f t="shared" si="6"/>
        <v>1.210738341288908E-2</v>
      </c>
      <c r="L22">
        <f t="shared" si="7"/>
        <v>4.9017746610886961E-5</v>
      </c>
      <c r="M22">
        <f t="shared" si="8"/>
        <v>6.649416262094038E-7</v>
      </c>
      <c r="O22" s="2">
        <v>1328.4</v>
      </c>
      <c r="P22" s="3">
        <f t="shared" si="9"/>
        <v>6.9497182572023329E-3</v>
      </c>
      <c r="Q22">
        <f t="shared" si="10"/>
        <v>2.8136511162762481E-5</v>
      </c>
      <c r="R22">
        <f t="shared" si="11"/>
        <v>2.4970693736530576E-7</v>
      </c>
    </row>
    <row r="23" spans="1:18" x14ac:dyDescent="0.25">
      <c r="A23" s="1">
        <v>45951</v>
      </c>
      <c r="B23" s="2">
        <v>3621.2</v>
      </c>
      <c r="C23" s="3">
        <f t="shared" si="0"/>
        <v>6.1404239948875854E-3</v>
      </c>
      <c r="D23" s="3">
        <f t="shared" si="1"/>
        <v>6.121648412293298E-3</v>
      </c>
      <c r="E23" s="7">
        <f t="shared" si="2"/>
        <v>1.0061216484122932</v>
      </c>
      <c r="F23">
        <f t="shared" si="3"/>
        <v>4.048582995951417E-3</v>
      </c>
      <c r="G23" s="9">
        <f t="shared" si="4"/>
        <v>2.4784001669203636E-5</v>
      </c>
      <c r="H23" s="13">
        <f t="shared" si="5"/>
        <v>1.1285692426879062E-7</v>
      </c>
      <c r="J23">
        <v>241.36</v>
      </c>
      <c r="K23" s="3">
        <f t="shared" si="6"/>
        <v>4.9730626801959695E-4</v>
      </c>
      <c r="L23">
        <f t="shared" si="7"/>
        <v>2.0133857004841982E-6</v>
      </c>
      <c r="M23">
        <f t="shared" si="8"/>
        <v>5.8841189572130462E-9</v>
      </c>
      <c r="O23" s="2">
        <v>1319.2</v>
      </c>
      <c r="P23" s="3">
        <f t="shared" si="9"/>
        <v>1.1435666286287208E-2</v>
      </c>
      <c r="Q23">
        <f t="shared" si="10"/>
        <v>4.6298244074037283E-5</v>
      </c>
      <c r="R23">
        <f t="shared" si="11"/>
        <v>6.164462160037085E-7</v>
      </c>
    </row>
    <row r="24" spans="1:18" x14ac:dyDescent="0.25">
      <c r="A24" s="1">
        <v>45950</v>
      </c>
      <c r="B24" s="2">
        <v>3599.1</v>
      </c>
      <c r="C24" s="3">
        <f t="shared" si="0"/>
        <v>-1.3188199166483854E-2</v>
      </c>
      <c r="D24" s="3">
        <f t="shared" si="1"/>
        <v>-1.3275935710239554E-2</v>
      </c>
      <c r="E24" s="7">
        <f t="shared" si="2"/>
        <v>0.98672406428976045</v>
      </c>
      <c r="F24">
        <f t="shared" si="3"/>
        <v>4.048582995951417E-3</v>
      </c>
      <c r="G24" s="9">
        <f t="shared" si="4"/>
        <v>-5.3748727571820053E-5</v>
      </c>
      <c r="H24" s="13">
        <f t="shared" si="5"/>
        <v>8.0693727565787859E-7</v>
      </c>
      <c r="J24">
        <v>241.24</v>
      </c>
      <c r="K24" s="3">
        <f t="shared" si="6"/>
        <v>1.4103789619603396E-3</v>
      </c>
      <c r="L24">
        <f t="shared" si="7"/>
        <v>5.7100362832402414E-6</v>
      </c>
      <c r="M24">
        <f t="shared" si="8"/>
        <v>1.8172505386723577E-8</v>
      </c>
      <c r="O24" s="2">
        <v>1304.2</v>
      </c>
      <c r="P24" s="3">
        <f t="shared" si="9"/>
        <v>-5.8104139005330903E-3</v>
      </c>
      <c r="Q24">
        <f t="shared" si="10"/>
        <v>-2.3523942917138017E-5</v>
      </c>
      <c r="R24">
        <f t="shared" si="11"/>
        <v>9.7469411403767973E-8</v>
      </c>
    </row>
    <row r="25" spans="1:18" x14ac:dyDescent="0.25">
      <c r="A25" s="1">
        <v>45947</v>
      </c>
      <c r="B25" s="2">
        <v>3647.2</v>
      </c>
      <c r="C25" s="3">
        <f t="shared" si="0"/>
        <v>2.4264210289822407E-2</v>
      </c>
      <c r="D25" s="3">
        <f t="shared" si="1"/>
        <v>2.3974511197587083E-2</v>
      </c>
      <c r="E25" s="7">
        <f t="shared" si="2"/>
        <v>1.0239745111975871</v>
      </c>
      <c r="F25">
        <f t="shared" si="3"/>
        <v>4.048582995951417E-3</v>
      </c>
      <c r="G25" s="9">
        <f t="shared" si="4"/>
        <v>9.7062798370797912E-5</v>
      </c>
      <c r="H25" s="13">
        <f t="shared" si="5"/>
        <v>2.1664669520308857E-6</v>
      </c>
      <c r="J25">
        <v>240.9</v>
      </c>
      <c r="K25" s="3">
        <f t="shared" si="6"/>
        <v>-5.220404598648945E-2</v>
      </c>
      <c r="L25">
        <f t="shared" si="7"/>
        <v>-2.1135241290076701E-4</v>
      </c>
      <c r="M25">
        <f t="shared" si="8"/>
        <v>1.0736099248837446E-5</v>
      </c>
      <c r="O25" s="2">
        <v>1311.8</v>
      </c>
      <c r="P25" s="3">
        <f t="shared" si="9"/>
        <v>-1.9476723470802051E-2</v>
      </c>
      <c r="Q25">
        <f t="shared" si="10"/>
        <v>-7.8853131460737057E-5</v>
      </c>
      <c r="R25">
        <f t="shared" si="11"/>
        <v>1.3965741160650284E-6</v>
      </c>
    </row>
    <row r="26" spans="1:18" x14ac:dyDescent="0.25">
      <c r="A26" s="1">
        <v>45946</v>
      </c>
      <c r="B26" s="2">
        <v>3560.8</v>
      </c>
      <c r="C26" s="3">
        <f t="shared" si="0"/>
        <v>1.8185977353311324E-2</v>
      </c>
      <c r="D26" s="3">
        <f t="shared" si="1"/>
        <v>1.8022590394908718E-2</v>
      </c>
      <c r="E26" s="7">
        <f t="shared" si="2"/>
        <v>1.0180225903949087</v>
      </c>
      <c r="F26">
        <f t="shared" si="3"/>
        <v>4.048582995951417E-3</v>
      </c>
      <c r="G26" s="9">
        <f t="shared" si="4"/>
        <v>7.2965953015824775E-5</v>
      </c>
      <c r="H26" s="13">
        <f t="shared" si="5"/>
        <v>1.1950439366339861E-6</v>
      </c>
      <c r="J26">
        <v>253.81</v>
      </c>
      <c r="K26" s="3">
        <f t="shared" si="6"/>
        <v>1.4285390347624981E-2</v>
      </c>
      <c r="L26">
        <f t="shared" si="7"/>
        <v>5.7835588451923004E-5</v>
      </c>
      <c r="M26">
        <f t="shared" si="8"/>
        <v>9.1015948781751288E-7</v>
      </c>
      <c r="O26" s="2">
        <v>1337.6</v>
      </c>
      <c r="P26" s="3">
        <f t="shared" si="9"/>
        <v>2.1078859995079732E-2</v>
      </c>
      <c r="Q26">
        <f t="shared" si="10"/>
        <v>8.5339514150120378E-5</v>
      </c>
      <c r="R26">
        <f t="shared" si="11"/>
        <v>1.9564249442091535E-6</v>
      </c>
    </row>
    <row r="27" spans="1:18" x14ac:dyDescent="0.25">
      <c r="A27" s="1">
        <v>45945</v>
      </c>
      <c r="B27" s="2">
        <v>3497.2</v>
      </c>
      <c r="C27" s="3">
        <f t="shared" si="0"/>
        <v>1.0809873403086779E-2</v>
      </c>
      <c r="D27" s="3">
        <f t="shared" si="1"/>
        <v>1.0751864393858846E-2</v>
      </c>
      <c r="E27" s="7">
        <f t="shared" si="2"/>
        <v>1.0107518643938589</v>
      </c>
      <c r="F27">
        <f t="shared" si="3"/>
        <v>4.048582995951417E-3</v>
      </c>
      <c r="G27" s="9">
        <f t="shared" si="4"/>
        <v>4.3529815359752415E-5</v>
      </c>
      <c r="H27" s="13">
        <f t="shared" si="5"/>
        <v>3.976001558434241E-7</v>
      </c>
      <c r="J27">
        <v>250.21</v>
      </c>
      <c r="K27" s="3">
        <f t="shared" si="6"/>
        <v>7.1797031436424772E-3</v>
      </c>
      <c r="L27">
        <f t="shared" si="7"/>
        <v>2.9067624063329867E-5</v>
      </c>
      <c r="M27">
        <f t="shared" si="8"/>
        <v>2.5190234747044646E-7</v>
      </c>
      <c r="O27" s="2">
        <v>1309.7</v>
      </c>
      <c r="P27" s="3">
        <f t="shared" si="9"/>
        <v>1.1441860283268058E-2</v>
      </c>
      <c r="Q27">
        <f t="shared" si="10"/>
        <v>4.6323320984890926E-5</v>
      </c>
      <c r="R27">
        <f t="shared" si="11"/>
        <v>6.1706524228948315E-7</v>
      </c>
    </row>
    <row r="28" spans="1:18" x14ac:dyDescent="0.25">
      <c r="A28" s="1">
        <v>45944</v>
      </c>
      <c r="B28" s="2">
        <v>3459.8</v>
      </c>
      <c r="C28" s="3">
        <f t="shared" si="0"/>
        <v>2.8904240252150131E-5</v>
      </c>
      <c r="D28" s="3">
        <f t="shared" si="1"/>
        <v>2.8903822532644718E-5</v>
      </c>
      <c r="E28" s="7">
        <f t="shared" si="2"/>
        <v>1.0000289038225327</v>
      </c>
      <c r="F28">
        <f t="shared" si="3"/>
        <v>4.048582995951417E-3</v>
      </c>
      <c r="G28" s="9">
        <f t="shared" si="4"/>
        <v>1.1701952442366283E-7</v>
      </c>
      <c r="H28" s="13">
        <f t="shared" si="5"/>
        <v>2.6760144361520708E-9</v>
      </c>
      <c r="J28">
        <v>248.42</v>
      </c>
      <c r="K28" s="3">
        <f t="shared" si="6"/>
        <v>1.3332180051321797E-2</v>
      </c>
      <c r="L28">
        <f t="shared" si="7"/>
        <v>5.3976437454744114E-5</v>
      </c>
      <c r="M28">
        <f t="shared" si="8"/>
        <v>7.9811258937766283E-7</v>
      </c>
      <c r="O28" s="2">
        <v>1294.8</v>
      </c>
      <c r="P28" s="3">
        <f t="shared" si="9"/>
        <v>8.6876128163875816E-3</v>
      </c>
      <c r="Q28">
        <f t="shared" si="10"/>
        <v>3.5172521523836366E-5</v>
      </c>
      <c r="R28">
        <f t="shared" si="11"/>
        <v>3.7244953176370436E-7</v>
      </c>
    </row>
    <row r="29" spans="1:18" x14ac:dyDescent="0.25">
      <c r="A29" s="1">
        <v>45943</v>
      </c>
      <c r="B29" s="2">
        <v>3459.7</v>
      </c>
      <c r="C29" s="3">
        <f t="shared" si="0"/>
        <v>1.3893310949664901E-3</v>
      </c>
      <c r="D29" s="3">
        <f t="shared" si="1"/>
        <v>1.3883668675048373E-3</v>
      </c>
      <c r="E29" s="7">
        <f t="shared" si="2"/>
        <v>1.0013883668675048</v>
      </c>
      <c r="F29">
        <f t="shared" si="3"/>
        <v>4.048582995951417E-3</v>
      </c>
      <c r="G29" s="9">
        <f t="shared" si="4"/>
        <v>5.6209184919224181E-6</v>
      </c>
      <c r="H29" s="13">
        <f t="shared" si="5"/>
        <v>1.2089775155922019E-9</v>
      </c>
      <c r="J29">
        <v>245.13</v>
      </c>
      <c r="K29" s="3">
        <f t="shared" si="6"/>
        <v>-1.4458668744633181E-2</v>
      </c>
      <c r="L29">
        <f t="shared" si="7"/>
        <v>-5.8537120423616119E-5</v>
      </c>
      <c r="M29">
        <f t="shared" si="8"/>
        <v>7.6548131522720981E-7</v>
      </c>
      <c r="O29" s="2">
        <v>1283.5999999999999</v>
      </c>
      <c r="P29" s="3">
        <f t="shared" si="9"/>
        <v>3.5121926164873307E-2</v>
      </c>
      <c r="Q29">
        <f t="shared" si="10"/>
        <v>1.4219403305616723E-4</v>
      </c>
      <c r="R29">
        <f t="shared" si="11"/>
        <v>5.2544628510086519E-6</v>
      </c>
    </row>
    <row r="30" spans="1:18" x14ac:dyDescent="0.25">
      <c r="A30" s="1">
        <v>45940</v>
      </c>
      <c r="B30" s="2">
        <v>3454.9</v>
      </c>
      <c r="C30" s="3">
        <f t="shared" si="0"/>
        <v>3.4854337912806062E-3</v>
      </c>
      <c r="D30" s="3">
        <f t="shared" si="1"/>
        <v>3.4793737441037153E-3</v>
      </c>
      <c r="E30" s="7">
        <f t="shared" si="2"/>
        <v>1.0034793737441037</v>
      </c>
      <c r="F30">
        <f t="shared" si="3"/>
        <v>4.048582995951417E-3</v>
      </c>
      <c r="G30" s="9">
        <f t="shared" si="4"/>
        <v>1.4086533376938118E-5</v>
      </c>
      <c r="H30" s="13">
        <f t="shared" si="5"/>
        <v>2.8162859462525524E-8</v>
      </c>
      <c r="J30">
        <v>248.7</v>
      </c>
      <c r="K30" s="3">
        <f t="shared" si="6"/>
        <v>9.2911191499941877E-3</v>
      </c>
      <c r="L30">
        <f t="shared" si="7"/>
        <v>3.761586700402505E-5</v>
      </c>
      <c r="M30">
        <f t="shared" si="8"/>
        <v>4.0480760530440917E-7</v>
      </c>
      <c r="O30" s="2">
        <v>1239.3</v>
      </c>
      <c r="P30" s="3">
        <f t="shared" si="9"/>
        <v>-9.678200610271332E-4</v>
      </c>
      <c r="Q30">
        <f t="shared" si="10"/>
        <v>-3.9182998422151145E-6</v>
      </c>
      <c r="R30">
        <f t="shared" si="11"/>
        <v>1.6597865374068946E-11</v>
      </c>
    </row>
    <row r="31" spans="1:18" x14ac:dyDescent="0.25">
      <c r="A31" s="1">
        <v>45939</v>
      </c>
      <c r="B31" s="2">
        <v>3442.9</v>
      </c>
      <c r="C31" s="3">
        <f t="shared" si="0"/>
        <v>4.7862250109441387E-3</v>
      </c>
      <c r="D31" s="3">
        <f t="shared" si="1"/>
        <v>4.7748074528573461E-3</v>
      </c>
      <c r="E31" s="7">
        <f t="shared" si="2"/>
        <v>1.0047748074528573</v>
      </c>
      <c r="F31">
        <f t="shared" si="3"/>
        <v>4.048582995951417E-3</v>
      </c>
      <c r="G31" s="9">
        <f t="shared" si="4"/>
        <v>1.9331204262580349E-5</v>
      </c>
      <c r="H31" s="13">
        <f t="shared" si="5"/>
        <v>6.2622263982467101E-8</v>
      </c>
      <c r="J31">
        <v>246.4</v>
      </c>
      <c r="K31" s="3">
        <f t="shared" si="6"/>
        <v>8.6820607724540817E-3</v>
      </c>
      <c r="L31">
        <f t="shared" si="7"/>
        <v>3.515004361317442E-5</v>
      </c>
      <c r="M31">
        <f t="shared" si="8"/>
        <v>3.5699605555603363E-7</v>
      </c>
      <c r="O31" s="2">
        <v>1240.5</v>
      </c>
      <c r="P31" s="3">
        <f t="shared" si="9"/>
        <v>1.2573680153028267E-2</v>
      </c>
      <c r="Q31">
        <f t="shared" si="10"/>
        <v>5.0905587664082057E-5</v>
      </c>
      <c r="R31">
        <f t="shared" si="11"/>
        <v>7.3539367921060715E-7</v>
      </c>
    </row>
    <row r="32" spans="1:18" x14ac:dyDescent="0.25">
      <c r="A32" s="1">
        <v>45938</v>
      </c>
      <c r="B32" s="2">
        <v>3426.5</v>
      </c>
      <c r="C32" s="3">
        <f t="shared" si="0"/>
        <v>-1.8981905634448057E-2</v>
      </c>
      <c r="D32" s="3">
        <f t="shared" si="1"/>
        <v>-1.9164374769801078E-2</v>
      </c>
      <c r="E32" s="7">
        <f t="shared" si="2"/>
        <v>0.98083562523019896</v>
      </c>
      <c r="F32">
        <f t="shared" si="3"/>
        <v>4.048582995951417E-3</v>
      </c>
      <c r="G32" s="9">
        <f t="shared" si="4"/>
        <v>-7.7588561821056992E-5</v>
      </c>
      <c r="H32" s="13">
        <f t="shared" si="5"/>
        <v>1.6204507881900956E-6</v>
      </c>
      <c r="J32">
        <v>244.27</v>
      </c>
      <c r="K32" s="3">
        <f t="shared" si="6"/>
        <v>3.0340326677468295E-3</v>
      </c>
      <c r="L32">
        <f t="shared" si="7"/>
        <v>1.2283533067800929E-5</v>
      </c>
      <c r="M32">
        <f t="shared" si="8"/>
        <v>5.669925166518948E-8</v>
      </c>
      <c r="O32" s="2">
        <v>1225</v>
      </c>
      <c r="P32" s="3">
        <f t="shared" si="9"/>
        <v>-1.2170535620255179E-2</v>
      </c>
      <c r="Q32">
        <f t="shared" si="10"/>
        <v>-4.9273423563786151E-5</v>
      </c>
      <c r="R32">
        <f t="shared" si="11"/>
        <v>5.1392520610477948E-7</v>
      </c>
    </row>
    <row r="33" spans="1:18" x14ac:dyDescent="0.25">
      <c r="A33" s="1">
        <v>45937</v>
      </c>
      <c r="B33" s="2">
        <v>3492.8</v>
      </c>
      <c r="C33" s="3">
        <f t="shared" si="0"/>
        <v>5.9907834101383013E-3</v>
      </c>
      <c r="D33" s="3">
        <f t="shared" si="1"/>
        <v>5.9729100154386674E-3</v>
      </c>
      <c r="E33" s="7">
        <f t="shared" si="2"/>
        <v>1.0059729100154386</v>
      </c>
      <c r="F33">
        <f t="shared" si="3"/>
        <v>4.048582995951417E-3</v>
      </c>
      <c r="G33" s="9">
        <f t="shared" si="4"/>
        <v>2.4181821924852904E-5</v>
      </c>
      <c r="H33" s="13">
        <f t="shared" si="5"/>
        <v>1.0658778588713349E-7</v>
      </c>
      <c r="J33">
        <v>243.53</v>
      </c>
      <c r="K33" s="3">
        <f t="shared" si="6"/>
        <v>5.7653662147733381E-3</v>
      </c>
      <c r="L33">
        <f t="shared" si="7"/>
        <v>2.3341563622564123E-5</v>
      </c>
      <c r="M33">
        <f t="shared" si="8"/>
        <v>1.6966707883458818E-7</v>
      </c>
      <c r="O33" s="2">
        <v>1240</v>
      </c>
      <c r="P33" s="3">
        <f t="shared" si="9"/>
        <v>3.278982282299097E-2</v>
      </c>
      <c r="Q33">
        <f t="shared" si="10"/>
        <v>1.3275231912142094E-4</v>
      </c>
      <c r="R33">
        <f t="shared" si="11"/>
        <v>4.5961928650347258E-6</v>
      </c>
    </row>
    <row r="34" spans="1:18" x14ac:dyDescent="0.25">
      <c r="A34" s="1">
        <v>45936</v>
      </c>
      <c r="B34" s="2">
        <v>3472</v>
      </c>
      <c r="C34" s="3">
        <f t="shared" si="0"/>
        <v>2.8885037550548816E-3</v>
      </c>
      <c r="D34" s="3">
        <f t="shared" si="1"/>
        <v>2.8843400440861284E-3</v>
      </c>
      <c r="E34" s="7">
        <f t="shared" si="2"/>
        <v>1.0028843400440861</v>
      </c>
      <c r="F34">
        <f t="shared" si="3"/>
        <v>4.048582995951417E-3</v>
      </c>
      <c r="G34" s="9">
        <f t="shared" si="4"/>
        <v>1.167749005702886E-5</v>
      </c>
      <c r="H34" s="13">
        <f t="shared" si="5"/>
        <v>1.6888782285841389E-8</v>
      </c>
      <c r="J34">
        <v>242.13</v>
      </c>
      <c r="K34" s="3">
        <f t="shared" si="6"/>
        <v>4.7608295092601985E-3</v>
      </c>
      <c r="L34">
        <f t="shared" si="7"/>
        <v>1.9274613397814569E-5</v>
      </c>
      <c r="M34">
        <f t="shared" si="8"/>
        <v>1.2109669109147062E-7</v>
      </c>
      <c r="O34" s="2">
        <v>1200</v>
      </c>
      <c r="P34" s="3">
        <f t="shared" si="9"/>
        <v>-1.743053506288442E-2</v>
      </c>
      <c r="Q34">
        <f t="shared" si="10"/>
        <v>-7.0568967865928834E-5</v>
      </c>
      <c r="R34">
        <f t="shared" si="11"/>
        <v>1.1058026597336164E-6</v>
      </c>
    </row>
    <row r="35" spans="1:18" x14ac:dyDescent="0.25">
      <c r="A35" s="1">
        <v>45933</v>
      </c>
      <c r="B35" s="2">
        <v>3462</v>
      </c>
      <c r="C35" s="3">
        <f t="shared" si="0"/>
        <v>-4.0422706011436477E-4</v>
      </c>
      <c r="D35" s="3">
        <f t="shared" si="1"/>
        <v>-4.0430878189591388E-4</v>
      </c>
      <c r="E35" s="7">
        <f t="shared" si="2"/>
        <v>0.9995956912181041</v>
      </c>
      <c r="F35">
        <f t="shared" si="3"/>
        <v>4.048582995951417E-3</v>
      </c>
      <c r="G35" s="9">
        <f t="shared" si="4"/>
        <v>-1.6368776594976271E-6</v>
      </c>
      <c r="H35" s="13">
        <f t="shared" si="5"/>
        <v>6.2876757884669564E-9</v>
      </c>
      <c r="J35">
        <v>240.98</v>
      </c>
      <c r="K35" s="3">
        <f t="shared" si="6"/>
        <v>-3.7340525275698352E-4</v>
      </c>
      <c r="L35">
        <f t="shared" si="7"/>
        <v>-1.5117621569108645E-6</v>
      </c>
      <c r="M35">
        <f t="shared" si="8"/>
        <v>4.5394408811966022E-10</v>
      </c>
      <c r="O35" s="2">
        <v>1221.0999999999999</v>
      </c>
      <c r="P35" s="3">
        <f t="shared" si="9"/>
        <v>4.185308312863875E-3</v>
      </c>
      <c r="Q35">
        <f t="shared" si="10"/>
        <v>1.6944568068274799E-5</v>
      </c>
      <c r="R35">
        <f t="shared" si="11"/>
        <v>1.0485399038069671E-7</v>
      </c>
    </row>
    <row r="36" spans="1:18" x14ac:dyDescent="0.25">
      <c r="A36" s="1">
        <v>45931</v>
      </c>
      <c r="B36" s="2">
        <v>3463.4</v>
      </c>
      <c r="C36" s="3">
        <f t="shared" si="0"/>
        <v>1.0621534870148846E-2</v>
      </c>
      <c r="D36" s="3">
        <f t="shared" si="1"/>
        <v>1.0565522643441657E-2</v>
      </c>
      <c r="E36" s="7">
        <f t="shared" si="2"/>
        <v>1.0105655226434416</v>
      </c>
      <c r="F36">
        <f t="shared" si="3"/>
        <v>4.048582995951417E-3</v>
      </c>
      <c r="G36" s="9">
        <f t="shared" si="4"/>
        <v>4.2775395317577558E-5</v>
      </c>
      <c r="H36" s="13">
        <f t="shared" si="5"/>
        <v>3.8278819614291756E-7</v>
      </c>
      <c r="J36">
        <v>241.07</v>
      </c>
      <c r="K36" s="3">
        <f t="shared" si="6"/>
        <v>7.0768757595879306E-3</v>
      </c>
      <c r="L36">
        <f t="shared" si="7"/>
        <v>2.8651318864728466E-5</v>
      </c>
      <c r="M36">
        <f t="shared" si="8"/>
        <v>2.4537755928511698E-7</v>
      </c>
      <c r="O36" s="2">
        <v>1216</v>
      </c>
      <c r="P36" s="3">
        <f t="shared" si="9"/>
        <v>-2.3820291356784935E-3</v>
      </c>
      <c r="Q36">
        <f t="shared" si="10"/>
        <v>-9.6438426545688002E-6</v>
      </c>
      <c r="R36">
        <f t="shared" si="11"/>
        <v>8.8469104441513865E-9</v>
      </c>
    </row>
    <row r="37" spans="1:18" x14ac:dyDescent="0.25">
      <c r="A37" s="1">
        <v>45930</v>
      </c>
      <c r="B37" s="2">
        <v>3427</v>
      </c>
      <c r="C37" s="3">
        <f t="shared" si="0"/>
        <v>2.6037857289137505E-3</v>
      </c>
      <c r="D37" s="3">
        <f t="shared" si="1"/>
        <v>2.6004017516810711E-3</v>
      </c>
      <c r="E37" s="7">
        <f t="shared" si="2"/>
        <v>1.002600401751681</v>
      </c>
      <c r="F37">
        <f t="shared" si="3"/>
        <v>4.048582995951417E-3</v>
      </c>
      <c r="G37" s="9">
        <f t="shared" si="4"/>
        <v>1.0527942314498264E-5</v>
      </c>
      <c r="H37" s="13">
        <f t="shared" si="5"/>
        <v>1.2519436297036445E-8</v>
      </c>
      <c r="J37">
        <v>239.37</v>
      </c>
      <c r="K37" s="3">
        <f t="shared" si="6"/>
        <v>-1.1273252274248129E-3</v>
      </c>
      <c r="L37">
        <f t="shared" si="7"/>
        <v>-4.5640697466591613E-6</v>
      </c>
      <c r="M37">
        <f t="shared" si="8"/>
        <v>7.1101238903228482E-10</v>
      </c>
      <c r="O37" s="2">
        <v>1218.9000000000001</v>
      </c>
      <c r="P37" s="3">
        <f t="shared" si="9"/>
        <v>-4.33875675517868E-3</v>
      </c>
      <c r="Q37">
        <f t="shared" si="10"/>
        <v>-1.7565816822585748E-5</v>
      </c>
      <c r="R37">
        <f t="shared" si="11"/>
        <v>4.7769178822226813E-8</v>
      </c>
    </row>
    <row r="38" spans="1:18" x14ac:dyDescent="0.25">
      <c r="A38" s="1">
        <v>45929</v>
      </c>
      <c r="B38" s="2">
        <v>3418.1</v>
      </c>
      <c r="C38" s="3">
        <f t="shared" si="0"/>
        <v>6.3594877079346116E-3</v>
      </c>
      <c r="D38" s="3">
        <f t="shared" si="1"/>
        <v>6.3393514915713279E-3</v>
      </c>
      <c r="E38" s="7">
        <f t="shared" si="2"/>
        <v>1.0063393514915713</v>
      </c>
      <c r="F38">
        <f t="shared" si="3"/>
        <v>4.048582995951417E-3</v>
      </c>
      <c r="G38" s="9">
        <f t="shared" si="4"/>
        <v>2.5665390654134932E-5</v>
      </c>
      <c r="H38" s="13">
        <f t="shared" si="5"/>
        <v>1.2235581569616678E-7</v>
      </c>
      <c r="J38">
        <v>239.64</v>
      </c>
      <c r="K38" s="3">
        <f t="shared" si="6"/>
        <v>1.6365875702157241E-2</v>
      </c>
      <c r="L38">
        <f t="shared" si="7"/>
        <v>6.6258606081608256E-5</v>
      </c>
      <c r="M38">
        <f t="shared" si="8"/>
        <v>1.1802669267177726E-6</v>
      </c>
      <c r="O38" s="2">
        <v>1224.2</v>
      </c>
      <c r="P38" s="3">
        <f t="shared" si="9"/>
        <v>-7.4059341549728448E-3</v>
      </c>
      <c r="Q38">
        <f t="shared" si="10"/>
        <v>-2.9983539088958885E-5</v>
      </c>
      <c r="R38">
        <f t="shared" si="11"/>
        <v>1.7116542810782036E-7</v>
      </c>
    </row>
    <row r="39" spans="1:18" x14ac:dyDescent="0.25">
      <c r="A39" s="1">
        <v>45926</v>
      </c>
      <c r="B39" s="2">
        <v>3396.5</v>
      </c>
      <c r="C39" s="3">
        <f t="shared" si="0"/>
        <v>-3.7818696883852691E-2</v>
      </c>
      <c r="D39" s="3">
        <f t="shared" si="1"/>
        <v>-3.8552381295985781E-2</v>
      </c>
      <c r="E39" s="7">
        <f t="shared" si="2"/>
        <v>0.96144761870401418</v>
      </c>
      <c r="F39">
        <f t="shared" si="3"/>
        <v>4.048582995951417E-3</v>
      </c>
      <c r="G39" s="9">
        <f t="shared" si="4"/>
        <v>-1.5608251536836348E-4</v>
      </c>
      <c r="H39" s="13">
        <f t="shared" si="5"/>
        <v>6.2830365107034959E-6</v>
      </c>
      <c r="J39">
        <v>235.75</v>
      </c>
      <c r="K39" s="3">
        <f t="shared" si="6"/>
        <v>-2.616580464311952E-2</v>
      </c>
      <c r="L39">
        <f t="shared" si="7"/>
        <v>-1.0593443175352033E-4</v>
      </c>
      <c r="M39">
        <f t="shared" si="8"/>
        <v>2.6238333856659014E-6</v>
      </c>
      <c r="O39" s="2">
        <v>1233.3</v>
      </c>
      <c r="P39" s="3">
        <f t="shared" si="9"/>
        <v>-1.7043583234534549E-2</v>
      </c>
      <c r="Q39">
        <f t="shared" si="10"/>
        <v>-6.9002361273419222E-5</v>
      </c>
      <c r="R39">
        <f t="shared" si="11"/>
        <v>1.0546270497878152E-6</v>
      </c>
    </row>
    <row r="40" spans="1:18" x14ac:dyDescent="0.25">
      <c r="A40" s="1">
        <v>45925</v>
      </c>
      <c r="B40" s="2">
        <v>3530</v>
      </c>
      <c r="C40" s="3">
        <f t="shared" si="0"/>
        <v>-1.2559791882290439E-2</v>
      </c>
      <c r="D40" s="3">
        <f t="shared" si="1"/>
        <v>-1.2639332781569061E-2</v>
      </c>
      <c r="E40" s="7">
        <f t="shared" si="2"/>
        <v>0.98736066721843097</v>
      </c>
      <c r="F40">
        <f t="shared" si="3"/>
        <v>4.048582995951417E-3</v>
      </c>
      <c r="G40" s="9">
        <f t="shared" si="4"/>
        <v>-5.1171387779631826E-5</v>
      </c>
      <c r="H40" s="13">
        <f t="shared" si="5"/>
        <v>7.3580505768832135E-7</v>
      </c>
      <c r="J40">
        <v>242</v>
      </c>
      <c r="K40" s="3">
        <f t="shared" si="6"/>
        <v>-1.0645613186242714E-2</v>
      </c>
      <c r="L40">
        <f t="shared" si="7"/>
        <v>-4.3099648527298434E-5</v>
      </c>
      <c r="M40">
        <f t="shared" si="8"/>
        <v>3.9980199422183751E-7</v>
      </c>
      <c r="O40" s="2">
        <v>1254.5</v>
      </c>
      <c r="P40" s="3">
        <f t="shared" si="9"/>
        <v>-7.7815225113749987E-3</v>
      </c>
      <c r="Q40">
        <f t="shared" si="10"/>
        <v>-3.1504139722165988E-5</v>
      </c>
      <c r="R40">
        <f t="shared" si="11"/>
        <v>1.9151087285993449E-7</v>
      </c>
    </row>
    <row r="41" spans="1:18" x14ac:dyDescent="0.25">
      <c r="A41" s="1">
        <v>45924</v>
      </c>
      <c r="B41" s="2">
        <v>3574.9</v>
      </c>
      <c r="C41" s="3">
        <f t="shared" si="0"/>
        <v>-1.0983234659436679E-2</v>
      </c>
      <c r="D41" s="3">
        <f t="shared" si="1"/>
        <v>-1.1043995692626613E-2</v>
      </c>
      <c r="E41" s="7">
        <f t="shared" si="2"/>
        <v>0.9889560043073734</v>
      </c>
      <c r="F41">
        <f t="shared" si="3"/>
        <v>4.048582995951417E-3</v>
      </c>
      <c r="G41" s="9">
        <f t="shared" si="4"/>
        <v>-4.4712533168528799E-5</v>
      </c>
      <c r="H41" s="13">
        <f t="shared" si="5"/>
        <v>5.7196236143283874E-7</v>
      </c>
      <c r="J41">
        <v>244.59</v>
      </c>
      <c r="K41" s="3">
        <f t="shared" si="6"/>
        <v>-2.0396482237519092E-2</v>
      </c>
      <c r="L41">
        <f t="shared" si="7"/>
        <v>-8.2576851164044903E-5</v>
      </c>
      <c r="M41">
        <f t="shared" si="8"/>
        <v>1.5693372524994652E-6</v>
      </c>
      <c r="O41" s="2">
        <v>1264.3</v>
      </c>
      <c r="P41" s="3">
        <f t="shared" si="9"/>
        <v>-1.1794444005137268E-2</v>
      </c>
      <c r="Q41">
        <f t="shared" si="10"/>
        <v>-4.7750785445899871E-5</v>
      </c>
      <c r="R41">
        <f t="shared" si="11"/>
        <v>4.8018750902648469E-7</v>
      </c>
    </row>
    <row r="42" spans="1:18" x14ac:dyDescent="0.25">
      <c r="A42" s="1">
        <v>45923</v>
      </c>
      <c r="B42" s="2">
        <v>3614.6</v>
      </c>
      <c r="C42" s="3">
        <f t="shared" si="0"/>
        <v>8.3128765900467878E-3</v>
      </c>
      <c r="D42" s="3">
        <f t="shared" si="1"/>
        <v>8.278514929604984E-3</v>
      </c>
      <c r="E42" s="7">
        <f t="shared" si="2"/>
        <v>1.008278514929605</v>
      </c>
      <c r="F42">
        <f t="shared" si="3"/>
        <v>4.048582995951417E-3</v>
      </c>
      <c r="G42" s="9">
        <f t="shared" si="4"/>
        <v>3.3516254775728681E-5</v>
      </c>
      <c r="H42" s="13">
        <f t="shared" si="5"/>
        <v>2.2389929028526469E-7</v>
      </c>
      <c r="J42">
        <v>249.63</v>
      </c>
      <c r="K42" s="3">
        <f t="shared" si="6"/>
        <v>-2.800225847696106E-3</v>
      </c>
      <c r="L42">
        <f t="shared" si="7"/>
        <v>-1.1336946751806097E-5</v>
      </c>
      <c r="M42">
        <f t="shared" si="8"/>
        <v>1.7717988052005761E-8</v>
      </c>
      <c r="O42" s="2">
        <v>1279.3</v>
      </c>
      <c r="P42" s="3">
        <f t="shared" si="9"/>
        <v>8.3991231231925843E-3</v>
      </c>
      <c r="Q42">
        <f t="shared" si="10"/>
        <v>3.4004547057459854E-5</v>
      </c>
      <c r="R42">
        <f t="shared" si="11"/>
        <v>3.5038144997675621E-7</v>
      </c>
    </row>
    <row r="43" spans="1:18" x14ac:dyDescent="0.25">
      <c r="A43" s="1">
        <v>45922</v>
      </c>
      <c r="B43" s="2">
        <v>3584.8</v>
      </c>
      <c r="C43" s="3">
        <f t="shared" si="0"/>
        <v>-2.0322374098715869E-3</v>
      </c>
      <c r="D43" s="3">
        <f t="shared" si="1"/>
        <v>-2.0343052062937357E-3</v>
      </c>
      <c r="E43" s="7">
        <f t="shared" si="2"/>
        <v>0.99796569479370623</v>
      </c>
      <c r="F43">
        <f t="shared" si="3"/>
        <v>4.048582995951417E-3</v>
      </c>
      <c r="G43" s="9">
        <f t="shared" si="4"/>
        <v>-8.2360534667762576E-6</v>
      </c>
      <c r="H43" s="13">
        <f t="shared" si="5"/>
        <v>3.3492314192382127E-8</v>
      </c>
      <c r="J43">
        <v>250.33</v>
      </c>
      <c r="K43" s="3">
        <f t="shared" si="6"/>
        <v>-2.1928537153792609E-2</v>
      </c>
      <c r="L43">
        <f t="shared" si="7"/>
        <v>-8.8779502646933636E-5</v>
      </c>
      <c r="M43">
        <f t="shared" si="8"/>
        <v>1.8230784819661939E-6</v>
      </c>
      <c r="O43" s="2">
        <v>1268.5999999999999</v>
      </c>
      <c r="P43" s="3">
        <f t="shared" si="9"/>
        <v>3.2371430897769069E-3</v>
      </c>
      <c r="Q43">
        <f t="shared" si="10"/>
        <v>1.3105842468732416E-5</v>
      </c>
      <c r="R43">
        <f t="shared" si="11"/>
        <v>6.9422422001080807E-8</v>
      </c>
    </row>
    <row r="44" spans="1:18" x14ac:dyDescent="0.25">
      <c r="A44" s="1">
        <v>45919</v>
      </c>
      <c r="B44" s="2">
        <v>3592.1</v>
      </c>
      <c r="C44" s="3">
        <f t="shared" si="0"/>
        <v>-1.3755422546812342E-2</v>
      </c>
      <c r="D44" s="3">
        <f t="shared" si="1"/>
        <v>-1.3850904983492266E-2</v>
      </c>
      <c r="E44" s="7">
        <f t="shared" si="2"/>
        <v>0.98614909501650772</v>
      </c>
      <c r="F44">
        <f t="shared" si="3"/>
        <v>4.048582995951417E-3</v>
      </c>
      <c r="G44" s="9">
        <f t="shared" si="4"/>
        <v>-5.607653839470553E-5</v>
      </c>
      <c r="H44" s="13">
        <f t="shared" si="5"/>
        <v>8.7400303347446382E-7</v>
      </c>
      <c r="J44">
        <v>255.88</v>
      </c>
      <c r="K44" s="3">
        <f t="shared" si="6"/>
        <v>-4.0950896720170918E-3</v>
      </c>
      <c r="L44">
        <f t="shared" si="7"/>
        <v>-1.6579310413024662E-5</v>
      </c>
      <c r="M44">
        <f t="shared" si="8"/>
        <v>4.6439881574592558E-8</v>
      </c>
      <c r="O44" s="2">
        <v>1264.5</v>
      </c>
      <c r="P44" s="3">
        <f t="shared" si="9"/>
        <v>-1.5692750439918406E-2</v>
      </c>
      <c r="Q44">
        <f t="shared" si="10"/>
        <v>-6.3533402590762773E-5</v>
      </c>
      <c r="R44">
        <f t="shared" si="11"/>
        <v>8.8547898886615455E-7</v>
      </c>
    </row>
    <row r="45" spans="1:18" x14ac:dyDescent="0.25">
      <c r="A45" s="1">
        <v>45918</v>
      </c>
      <c r="B45" s="2">
        <v>3642.2</v>
      </c>
      <c r="C45" s="3">
        <f t="shared" si="0"/>
        <v>2.4771551249587144E-3</v>
      </c>
      <c r="D45" s="3">
        <f t="shared" si="1"/>
        <v>2.4740920336608547E-3</v>
      </c>
      <c r="E45" s="7">
        <f t="shared" si="2"/>
        <v>1.0024740920336608</v>
      </c>
      <c r="F45">
        <f t="shared" si="3"/>
        <v>4.048582995951417E-3</v>
      </c>
      <c r="G45" s="9">
        <f t="shared" si="4"/>
        <v>1.0016566937898197E-5</v>
      </c>
      <c r="H45" s="13">
        <f t="shared" si="5"/>
        <v>1.0785527024940382E-8</v>
      </c>
      <c r="J45">
        <v>256.93</v>
      </c>
      <c r="K45" s="3">
        <f t="shared" si="6"/>
        <v>1.0879030361042432E-2</v>
      </c>
      <c r="L45">
        <f t="shared" si="7"/>
        <v>4.4044657332155592E-5</v>
      </c>
      <c r="M45">
        <f t="shared" si="8"/>
        <v>5.435837100472734E-7</v>
      </c>
      <c r="O45" s="2">
        <v>1284.5</v>
      </c>
      <c r="P45" s="3">
        <f t="shared" si="9"/>
        <v>1.4823219536548905E-2</v>
      </c>
      <c r="Q45">
        <f t="shared" si="10"/>
        <v>6.0013034560926742E-5</v>
      </c>
      <c r="R45">
        <f t="shared" si="11"/>
        <v>1.0013719521628113E-6</v>
      </c>
    </row>
    <row r="46" spans="1:18" x14ac:dyDescent="0.25">
      <c r="A46" s="1">
        <v>45917</v>
      </c>
      <c r="B46" s="2">
        <v>3633.2</v>
      </c>
      <c r="C46" s="3">
        <f t="shared" si="0"/>
        <v>6.9844789356983978E-3</v>
      </c>
      <c r="D46" s="3">
        <f t="shared" si="1"/>
        <v>6.9602004455440762E-3</v>
      </c>
      <c r="E46" s="7">
        <f t="shared" si="2"/>
        <v>1.006960200445544</v>
      </c>
      <c r="F46">
        <f t="shared" si="3"/>
        <v>4.048582995951417E-3</v>
      </c>
      <c r="G46" s="9">
        <f t="shared" si="4"/>
        <v>2.8178949172243224E-5</v>
      </c>
      <c r="H46" s="13">
        <f t="shared" si="5"/>
        <v>1.515526484063496E-7</v>
      </c>
      <c r="J46">
        <v>254.15</v>
      </c>
      <c r="K46" s="3">
        <f t="shared" si="6"/>
        <v>5.5100757061595342E-4</v>
      </c>
      <c r="L46">
        <f t="shared" si="7"/>
        <v>2.2307998810362485E-6</v>
      </c>
      <c r="M46">
        <f t="shared" si="8"/>
        <v>6.4200065061603219E-9</v>
      </c>
      <c r="O46" s="2">
        <v>1265.5999999999999</v>
      </c>
      <c r="P46" s="3">
        <f t="shared" si="9"/>
        <v>2.9277963545243824E-3</v>
      </c>
      <c r="Q46">
        <f t="shared" si="10"/>
        <v>1.1853426536535961E-5</v>
      </c>
      <c r="R46">
        <f t="shared" si="11"/>
        <v>5.9437508187358997E-8</v>
      </c>
    </row>
    <row r="47" spans="1:18" x14ac:dyDescent="0.25">
      <c r="A47" s="1">
        <v>45916</v>
      </c>
      <c r="B47" s="2">
        <v>3608</v>
      </c>
      <c r="C47" s="3">
        <f t="shared" si="0"/>
        <v>2.2009460952326945E-2</v>
      </c>
      <c r="D47" s="3">
        <f t="shared" si="1"/>
        <v>2.1770749030569241E-2</v>
      </c>
      <c r="E47" s="7">
        <f t="shared" si="2"/>
        <v>1.0217707490305692</v>
      </c>
      <c r="F47">
        <f t="shared" si="3"/>
        <v>4.048582995951417E-3</v>
      </c>
      <c r="G47" s="9">
        <f t="shared" si="4"/>
        <v>8.8140684334288421E-5</v>
      </c>
      <c r="H47" s="13">
        <f t="shared" si="5"/>
        <v>1.773345719524465E-6</v>
      </c>
      <c r="J47">
        <v>254.01</v>
      </c>
      <c r="K47" s="3">
        <f t="shared" si="6"/>
        <v>1.0805781091904394E-2</v>
      </c>
      <c r="L47">
        <f t="shared" si="7"/>
        <v>4.3748101586657464E-5</v>
      </c>
      <c r="M47">
        <f t="shared" si="8"/>
        <v>5.3673288058657215E-7</v>
      </c>
      <c r="O47" s="2">
        <v>1261.9000000000001</v>
      </c>
      <c r="P47" s="3">
        <f t="shared" si="9"/>
        <v>-4.2701314291534115E-3</v>
      </c>
      <c r="Q47">
        <f t="shared" si="10"/>
        <v>-1.7287981494548225E-5</v>
      </c>
      <c r="R47">
        <f t="shared" si="11"/>
        <v>4.5879535895305274E-8</v>
      </c>
    </row>
    <row r="48" spans="1:18" x14ac:dyDescent="0.25">
      <c r="A48" s="1">
        <v>45915</v>
      </c>
      <c r="B48" s="2">
        <v>3530.3</v>
      </c>
      <c r="C48" s="3">
        <f t="shared" si="0"/>
        <v>-1.6602133764171679E-2</v>
      </c>
      <c r="D48" s="3">
        <f t="shared" si="1"/>
        <v>-1.6741493789214197E-2</v>
      </c>
      <c r="E48" s="7">
        <f t="shared" si="2"/>
        <v>0.98325850621078581</v>
      </c>
      <c r="F48">
        <f t="shared" si="3"/>
        <v>4.048582995951417E-3</v>
      </c>
      <c r="G48" s="9">
        <f t="shared" si="4"/>
        <v>-6.7779327081838857E-5</v>
      </c>
      <c r="H48" s="13">
        <f t="shared" si="5"/>
        <v>1.251724751314589E-6</v>
      </c>
      <c r="J48">
        <v>251.28</v>
      </c>
      <c r="K48" s="3">
        <f t="shared" si="6"/>
        <v>-2.6231086937657817E-3</v>
      </c>
      <c r="L48">
        <f t="shared" si="7"/>
        <v>-1.0619873254112477E-5</v>
      </c>
      <c r="M48">
        <f t="shared" si="8"/>
        <v>1.4844800013362106E-8</v>
      </c>
      <c r="O48" s="2">
        <v>1267.3</v>
      </c>
      <c r="P48" s="3">
        <f t="shared" si="9"/>
        <v>-3.9446176204749973E-4</v>
      </c>
      <c r="Q48">
        <f t="shared" si="10"/>
        <v>-1.5970111823785414E-6</v>
      </c>
      <c r="R48">
        <f t="shared" si="11"/>
        <v>1.0502698531627223E-9</v>
      </c>
    </row>
    <row r="49" spans="1:18" x14ac:dyDescent="0.25">
      <c r="A49" s="1">
        <v>45912</v>
      </c>
      <c r="B49" s="2">
        <v>3589.9</v>
      </c>
      <c r="C49" s="3">
        <f t="shared" si="0"/>
        <v>-1.6130377951441243E-3</v>
      </c>
      <c r="D49" s="3">
        <f t="shared" si="1"/>
        <v>-1.614340141285831E-3</v>
      </c>
      <c r="E49" s="7">
        <f t="shared" si="2"/>
        <v>0.99838565985871419</v>
      </c>
      <c r="F49">
        <f t="shared" si="3"/>
        <v>4.048582995951417E-3</v>
      </c>
      <c r="G49" s="9">
        <f t="shared" si="4"/>
        <v>-6.535790045691624E-6</v>
      </c>
      <c r="H49" s="13">
        <f t="shared" si="5"/>
        <v>2.4425725693163716E-8</v>
      </c>
      <c r="J49">
        <v>251.94</v>
      </c>
      <c r="K49" s="3">
        <f t="shared" si="6"/>
        <v>-7.7889095957599675E-3</v>
      </c>
      <c r="L49">
        <f t="shared" si="7"/>
        <v>-3.1534046946396633E-5</v>
      </c>
      <c r="M49">
        <f t="shared" si="8"/>
        <v>2.0297843304053364E-7</v>
      </c>
      <c r="O49" s="2">
        <v>1267.8</v>
      </c>
      <c r="P49" s="3">
        <f t="shared" si="9"/>
        <v>-3.9430622331787654E-4</v>
      </c>
      <c r="Q49">
        <f t="shared" si="10"/>
        <v>-1.5963814709225771E-6</v>
      </c>
      <c r="R49">
        <f t="shared" si="11"/>
        <v>1.0509114124904069E-9</v>
      </c>
    </row>
    <row r="50" spans="1:18" x14ac:dyDescent="0.25">
      <c r="A50" s="1">
        <v>45911</v>
      </c>
      <c r="B50" s="2">
        <v>3595.7</v>
      </c>
      <c r="C50" s="3">
        <f t="shared" si="0"/>
        <v>-2.4137165686384065E-3</v>
      </c>
      <c r="D50" s="3">
        <f t="shared" si="1"/>
        <v>-2.4166342784371943E-3</v>
      </c>
      <c r="E50" s="7">
        <f t="shared" si="2"/>
        <v>0.99758336572156281</v>
      </c>
      <c r="F50">
        <f t="shared" si="3"/>
        <v>4.048582995951417E-3</v>
      </c>
      <c r="G50" s="9">
        <f t="shared" si="4"/>
        <v>-9.7839444471141474E-6</v>
      </c>
      <c r="H50" s="13">
        <f t="shared" si="5"/>
        <v>4.2988246441872703E-8</v>
      </c>
      <c r="J50">
        <v>253.91</v>
      </c>
      <c r="K50" s="3">
        <f t="shared" si="6"/>
        <v>-7.2205313118189661E-3</v>
      </c>
      <c r="L50">
        <f t="shared" si="7"/>
        <v>-2.9232920290765046E-5</v>
      </c>
      <c r="M50">
        <f t="shared" si="8"/>
        <v>1.7169937627760697E-7</v>
      </c>
      <c r="O50" s="2">
        <v>1268.3</v>
      </c>
      <c r="P50" s="3">
        <f t="shared" si="9"/>
        <v>4.2667574212593932E-3</v>
      </c>
      <c r="Q50">
        <f t="shared" si="10"/>
        <v>1.7274321543560296E-5</v>
      </c>
      <c r="R50">
        <f t="shared" si="11"/>
        <v>1.0823714512296182E-7</v>
      </c>
    </row>
    <row r="51" spans="1:18" x14ac:dyDescent="0.25">
      <c r="A51" s="1">
        <v>45910</v>
      </c>
      <c r="B51" s="2">
        <v>3604.4</v>
      </c>
      <c r="C51" s="3">
        <f t="shared" si="0"/>
        <v>-2.4862700538376237E-2</v>
      </c>
      <c r="D51" s="3">
        <f t="shared" si="1"/>
        <v>-2.5176997937850054E-2</v>
      </c>
      <c r="E51" s="7">
        <f t="shared" si="2"/>
        <v>0.97482300206215</v>
      </c>
      <c r="F51">
        <f t="shared" si="3"/>
        <v>4.048582995951417E-3</v>
      </c>
      <c r="G51" s="9">
        <f t="shared" si="4"/>
        <v>-1.0193116574028362E-4</v>
      </c>
      <c r="H51" s="13">
        <f t="shared" si="5"/>
        <v>2.7408237204158734E-6</v>
      </c>
      <c r="J51">
        <v>255.75</v>
      </c>
      <c r="K51" s="3">
        <f t="shared" si="6"/>
        <v>2.6145280104322207E-2</v>
      </c>
      <c r="L51">
        <f t="shared" si="7"/>
        <v>1.0585133645474578E-4</v>
      </c>
      <c r="M51">
        <f t="shared" si="8"/>
        <v>2.919483135587068E-6</v>
      </c>
      <c r="O51" s="2">
        <v>1262.9000000000001</v>
      </c>
      <c r="P51" s="3">
        <f t="shared" si="9"/>
        <v>1.5159058436205426E-2</v>
      </c>
      <c r="Q51">
        <f t="shared" si="10"/>
        <v>6.137270621945517E-5</v>
      </c>
      <c r="R51">
        <f t="shared" si="11"/>
        <v>1.0445957248137061E-6</v>
      </c>
    </row>
    <row r="52" spans="1:18" x14ac:dyDescent="0.25">
      <c r="A52" s="1">
        <v>45909</v>
      </c>
      <c r="B52" s="2">
        <v>3696.3</v>
      </c>
      <c r="C52" s="3">
        <f t="shared" si="0"/>
        <v>-1.3778570270708134E-3</v>
      </c>
      <c r="D52" s="3">
        <f t="shared" si="1"/>
        <v>-1.378807144915669E-3</v>
      </c>
      <c r="E52" s="7">
        <f t="shared" si="2"/>
        <v>0.99862119285508433</v>
      </c>
      <c r="F52">
        <f t="shared" si="3"/>
        <v>4.048582995951417E-3</v>
      </c>
      <c r="G52" s="9">
        <f t="shared" si="4"/>
        <v>-5.582215161601899E-6</v>
      </c>
      <c r="H52" s="13">
        <f t="shared" si="5"/>
        <v>1.9965891235705026E-8</v>
      </c>
      <c r="J52">
        <v>249.15</v>
      </c>
      <c r="K52" s="3">
        <f t="shared" si="6"/>
        <v>2.6970943523883593E-2</v>
      </c>
      <c r="L52">
        <f t="shared" si="7"/>
        <v>1.0919410333556111E-4</v>
      </c>
      <c r="M52">
        <f t="shared" si="8"/>
        <v>3.1017733498479239E-6</v>
      </c>
      <c r="O52" s="2">
        <v>1243.9000000000001</v>
      </c>
      <c r="P52" s="3">
        <f t="shared" si="9"/>
        <v>-1.2701372971909602E-2</v>
      </c>
      <c r="Q52">
        <f t="shared" si="10"/>
        <v>-5.1422562639310132E-5</v>
      </c>
      <c r="R52">
        <f t="shared" si="11"/>
        <v>5.6349365002658755E-7</v>
      </c>
    </row>
    <row r="53" spans="1:18" x14ac:dyDescent="0.25">
      <c r="A53" s="1">
        <v>45908</v>
      </c>
      <c r="B53" s="2">
        <v>3701.4</v>
      </c>
      <c r="C53" s="3">
        <f t="shared" si="0"/>
        <v>3.9339567012046134E-2</v>
      </c>
      <c r="D53" s="3">
        <f t="shared" si="1"/>
        <v>3.8585479716050024E-2</v>
      </c>
      <c r="E53" s="7">
        <f t="shared" si="2"/>
        <v>1.0385854797160501</v>
      </c>
      <c r="F53">
        <f t="shared" si="3"/>
        <v>4.048582995951417E-3</v>
      </c>
      <c r="G53" s="9">
        <f t="shared" si="4"/>
        <v>1.5621651706902845E-4</v>
      </c>
      <c r="H53" s="13">
        <f t="shared" si="5"/>
        <v>5.7675190948019169E-6</v>
      </c>
      <c r="J53">
        <v>242.52</v>
      </c>
      <c r="K53" s="3">
        <f t="shared" si="6"/>
        <v>-4.7306696751308235E-3</v>
      </c>
      <c r="L53">
        <f t="shared" si="7"/>
        <v>-1.9152508806197667E-5</v>
      </c>
      <c r="M53">
        <f t="shared" si="8"/>
        <v>6.5505351345446988E-8</v>
      </c>
      <c r="O53" s="2">
        <v>1259.8</v>
      </c>
      <c r="P53" s="3">
        <f t="shared" si="9"/>
        <v>-2.4576854642958256E-3</v>
      </c>
      <c r="Q53">
        <f t="shared" si="10"/>
        <v>-9.9501435801450433E-6</v>
      </c>
      <c r="R53">
        <f t="shared" si="11"/>
        <v>9.7756552368084572E-9</v>
      </c>
    </row>
    <row r="54" spans="1:18" x14ac:dyDescent="0.25">
      <c r="A54" s="1">
        <v>45905</v>
      </c>
      <c r="B54" s="2">
        <v>3561.3</v>
      </c>
      <c r="C54" s="3">
        <f t="shared" si="0"/>
        <v>2.2921154674709229E-2</v>
      </c>
      <c r="D54" s="3">
        <f t="shared" si="1"/>
        <v>2.2662411344996622E-2</v>
      </c>
      <c r="E54" s="7">
        <f t="shared" si="2"/>
        <v>1.0226624113449967</v>
      </c>
      <c r="F54">
        <f t="shared" si="3"/>
        <v>4.048582995951417E-3</v>
      </c>
      <c r="G54" s="9">
        <f t="shared" si="4"/>
        <v>9.1750653218609812E-5</v>
      </c>
      <c r="H54" s="13">
        <f t="shared" si="5"/>
        <v>1.9276695235526745E-6</v>
      </c>
      <c r="J54">
        <v>243.67</v>
      </c>
      <c r="K54" s="3">
        <f t="shared" si="6"/>
        <v>-5.3209031889859702E-3</v>
      </c>
      <c r="L54">
        <f t="shared" si="7"/>
        <v>-2.1542118174032268E-5</v>
      </c>
      <c r="M54">
        <f t="shared" si="8"/>
        <v>8.6139779623914021E-8</v>
      </c>
      <c r="O54" s="2">
        <v>1262.9000000000001</v>
      </c>
      <c r="P54" s="3">
        <f t="shared" si="9"/>
        <v>-2.5022808422669976E-2</v>
      </c>
      <c r="Q54">
        <f t="shared" si="10"/>
        <v>-1.0130691669097157E-4</v>
      </c>
      <c r="R54">
        <f t="shared" si="11"/>
        <v>2.3551699732322824E-6</v>
      </c>
    </row>
    <row r="55" spans="1:18" x14ac:dyDescent="0.25">
      <c r="A55" s="1">
        <v>45904</v>
      </c>
      <c r="B55" s="2">
        <v>3481.5</v>
      </c>
      <c r="C55" s="3">
        <f t="shared" si="0"/>
        <v>5.9494826536822885E-2</v>
      </c>
      <c r="D55" s="3">
        <f t="shared" si="1"/>
        <v>5.7792215785388068E-2</v>
      </c>
      <c r="E55" s="7">
        <f t="shared" si="2"/>
        <v>1.0577922157853881</v>
      </c>
      <c r="F55">
        <f t="shared" si="3"/>
        <v>4.048582995951417E-3</v>
      </c>
      <c r="G55" s="9">
        <f t="shared" si="4"/>
        <v>2.339765821270772E-4</v>
      </c>
      <c r="H55" s="13">
        <f t="shared" si="5"/>
        <v>1.3130921347129903E-5</v>
      </c>
      <c r="J55">
        <v>244.97</v>
      </c>
      <c r="K55" s="3">
        <f t="shared" si="6"/>
        <v>-1.8563613174938823E-2</v>
      </c>
      <c r="L55">
        <f t="shared" si="7"/>
        <v>-7.5156328643477012E-5</v>
      </c>
      <c r="M55">
        <f t="shared" si="8"/>
        <v>1.2907442278209894E-6</v>
      </c>
      <c r="O55" s="2">
        <v>1294.9000000000001</v>
      </c>
      <c r="P55" s="3">
        <f t="shared" si="9"/>
        <v>-1.4794643388973064E-2</v>
      </c>
      <c r="Q55">
        <f t="shared" si="10"/>
        <v>-5.9897341655761394E-5</v>
      </c>
      <c r="R55">
        <f t="shared" si="11"/>
        <v>7.8119744817255818E-7</v>
      </c>
    </row>
    <row r="56" spans="1:18" x14ac:dyDescent="0.25">
      <c r="A56" s="1">
        <v>45903</v>
      </c>
      <c r="B56" s="2">
        <v>3286</v>
      </c>
      <c r="C56" s="3">
        <f t="shared" si="0"/>
        <v>1.5922089967537488E-2</v>
      </c>
      <c r="D56" s="3">
        <f t="shared" si="1"/>
        <v>1.5796663113173195E-2</v>
      </c>
      <c r="E56" s="7">
        <f t="shared" si="2"/>
        <v>1.0157966631131732</v>
      </c>
      <c r="F56">
        <f t="shared" si="3"/>
        <v>4.048582995951417E-3</v>
      </c>
      <c r="G56" s="9">
        <f t="shared" si="4"/>
        <v>6.3954101672765968E-5</v>
      </c>
      <c r="H56" s="13">
        <f t="shared" si="5"/>
        <v>9.0544414845244942E-7</v>
      </c>
      <c r="J56">
        <v>249.56</v>
      </c>
      <c r="K56" s="3">
        <f t="shared" si="6"/>
        <v>-5.4746485315435136E-3</v>
      </c>
      <c r="L56">
        <f t="shared" si="7"/>
        <v>-2.2164568953617465E-5</v>
      </c>
      <c r="M56">
        <f t="shared" si="8"/>
        <v>9.1977771758480756E-8</v>
      </c>
      <c r="O56" s="2">
        <v>1314.2</v>
      </c>
      <c r="P56" s="3">
        <f t="shared" si="9"/>
        <v>7.3316351017719029E-3</v>
      </c>
      <c r="Q56">
        <f t="shared" si="10"/>
        <v>2.9682733205554262E-5</v>
      </c>
      <c r="R56">
        <f t="shared" si="11"/>
        <v>2.7458400501934066E-7</v>
      </c>
    </row>
    <row r="57" spans="1:18" x14ac:dyDescent="0.25">
      <c r="A57" s="1">
        <v>45902</v>
      </c>
      <c r="B57" s="2">
        <v>3234.5</v>
      </c>
      <c r="C57" s="3">
        <f t="shared" si="0"/>
        <v>-2.4401278880376451E-2</v>
      </c>
      <c r="D57" s="3">
        <f t="shared" si="1"/>
        <v>-2.470392350672555E-2</v>
      </c>
      <c r="E57" s="7">
        <f t="shared" si="2"/>
        <v>0.97529607649327443</v>
      </c>
      <c r="F57">
        <f t="shared" si="3"/>
        <v>4.048582995951417E-3</v>
      </c>
      <c r="G57" s="9">
        <f t="shared" si="4"/>
        <v>-1.0001588464261357E-4</v>
      </c>
      <c r="H57" s="13">
        <f t="shared" si="5"/>
        <v>2.642062754016373E-6</v>
      </c>
      <c r="J57">
        <v>250.93</v>
      </c>
      <c r="K57" s="3">
        <f t="shared" si="6"/>
        <v>2.2741337176284517E-3</v>
      </c>
      <c r="L57">
        <f t="shared" si="7"/>
        <v>9.2070190997103303E-6</v>
      </c>
      <c r="M57">
        <f t="shared" si="8"/>
        <v>3.6010692336551725E-8</v>
      </c>
      <c r="O57" s="2">
        <v>1304.5999999999999</v>
      </c>
      <c r="P57" s="3">
        <f t="shared" si="9"/>
        <v>3.3198716260837001E-2</v>
      </c>
      <c r="Q57">
        <f t="shared" si="10"/>
        <v>1.344077581410405E-4</v>
      </c>
      <c r="R57">
        <f t="shared" si="11"/>
        <v>4.7084252104944049E-6</v>
      </c>
    </row>
    <row r="58" spans="1:18" x14ac:dyDescent="0.25">
      <c r="A58" s="1">
        <v>45901</v>
      </c>
      <c r="B58" s="2">
        <v>3315.4</v>
      </c>
      <c r="C58" s="3">
        <f t="shared" si="0"/>
        <v>3.6224410064072537E-2</v>
      </c>
      <c r="D58" s="3">
        <f t="shared" si="1"/>
        <v>3.5583732411250679E-2</v>
      </c>
      <c r="E58" s="7">
        <f t="shared" si="2"/>
        <v>1.0355837324112507</v>
      </c>
      <c r="F58">
        <f t="shared" si="3"/>
        <v>4.048582995951417E-3</v>
      </c>
      <c r="G58" s="9">
        <f t="shared" si="4"/>
        <v>1.4406369397267481E-4</v>
      </c>
      <c r="H58" s="13">
        <f t="shared" si="5"/>
        <v>4.8866168952067539E-6</v>
      </c>
      <c r="J58">
        <v>250.36</v>
      </c>
      <c r="K58" s="3">
        <f t="shared" si="6"/>
        <v>3.8017533834427118E-3</v>
      </c>
      <c r="L58">
        <f t="shared" si="7"/>
        <v>1.539171410300693E-5</v>
      </c>
      <c r="M58">
        <f t="shared" si="8"/>
        <v>8.2348880231085034E-8</v>
      </c>
      <c r="O58" s="2">
        <v>1262</v>
      </c>
      <c r="P58" s="3">
        <f t="shared" si="9"/>
        <v>2.7881129497695951E-2</v>
      </c>
      <c r="Q58">
        <f t="shared" si="10"/>
        <v>1.128790667922913E-4</v>
      </c>
      <c r="R58">
        <f t="shared" si="11"/>
        <v>3.3545411724556729E-6</v>
      </c>
    </row>
    <row r="59" spans="1:18" x14ac:dyDescent="0.25">
      <c r="A59" s="1">
        <v>45898</v>
      </c>
      <c r="B59" s="2">
        <v>3199.5</v>
      </c>
      <c r="C59" s="3">
        <f t="shared" si="0"/>
        <v>-2.9071708190453124E-2</v>
      </c>
      <c r="D59" s="3">
        <f t="shared" si="1"/>
        <v>-2.9502663253533599E-2</v>
      </c>
      <c r="E59" s="7">
        <f t="shared" si="2"/>
        <v>0.97049733674646643</v>
      </c>
      <c r="F59">
        <f t="shared" si="3"/>
        <v>4.048582995951417E-3</v>
      </c>
      <c r="G59" s="9">
        <f t="shared" si="4"/>
        <v>-1.1944398078353684E-4</v>
      </c>
      <c r="H59" s="13">
        <f t="shared" si="5"/>
        <v>3.7279068667766547E-6</v>
      </c>
      <c r="J59">
        <v>249.41</v>
      </c>
      <c r="K59" s="3">
        <f t="shared" si="6"/>
        <v>-4.9594150364545E-3</v>
      </c>
      <c r="L59">
        <f t="shared" si="7"/>
        <v>-2.0078603386455465E-5</v>
      </c>
      <c r="M59">
        <f t="shared" si="8"/>
        <v>7.316746449729467E-8</v>
      </c>
      <c r="O59" s="2">
        <v>1227.3</v>
      </c>
      <c r="P59" s="3">
        <f t="shared" si="9"/>
        <v>-1.6965991053542715E-2</v>
      </c>
      <c r="Q59">
        <f t="shared" si="10"/>
        <v>-6.8688222888836907E-5</v>
      </c>
      <c r="R59">
        <f t="shared" si="11"/>
        <v>1.0445111681851552E-6</v>
      </c>
    </row>
    <row r="60" spans="1:18" x14ac:dyDescent="0.25">
      <c r="A60" s="1">
        <v>45897</v>
      </c>
      <c r="B60" s="2">
        <v>3295.3</v>
      </c>
      <c r="C60" s="3">
        <f t="shared" si="0"/>
        <v>-1.0658100156118649E-2</v>
      </c>
      <c r="D60" s="3">
        <f t="shared" si="1"/>
        <v>-1.0715304528615792E-2</v>
      </c>
      <c r="E60" s="7">
        <f t="shared" si="2"/>
        <v>0.9892846954713842</v>
      </c>
      <c r="F60">
        <f t="shared" si="3"/>
        <v>4.048582995951417E-3</v>
      </c>
      <c r="G60" s="9">
        <f t="shared" si="4"/>
        <v>-4.3381799710995108E-5</v>
      </c>
      <c r="H60" s="13">
        <f t="shared" si="5"/>
        <v>5.407658226996907E-7</v>
      </c>
      <c r="J60">
        <v>250.65</v>
      </c>
      <c r="K60" s="3">
        <f t="shared" si="6"/>
        <v>-5.4905843353530229E-3</v>
      </c>
      <c r="L60">
        <f t="shared" si="7"/>
        <v>-2.2229086377947462E-5</v>
      </c>
      <c r="M60">
        <f t="shared" si="8"/>
        <v>9.2593830794989265E-8</v>
      </c>
      <c r="O60" s="2">
        <v>1248.3</v>
      </c>
      <c r="P60" s="3">
        <f t="shared" si="9"/>
        <v>-1.7391742711869222E-2</v>
      </c>
      <c r="Q60">
        <f t="shared" si="10"/>
        <v>-7.0411913813235721E-5</v>
      </c>
      <c r="R60">
        <f t="shared" si="11"/>
        <v>1.1006175680812744E-6</v>
      </c>
    </row>
    <row r="61" spans="1:18" x14ac:dyDescent="0.25">
      <c r="A61" s="1">
        <v>45895</v>
      </c>
      <c r="B61" s="2">
        <v>3330.8</v>
      </c>
      <c r="C61" s="3">
        <f t="shared" si="0"/>
        <v>-2.0035893965694756E-2</v>
      </c>
      <c r="D61" s="3">
        <f t="shared" si="1"/>
        <v>-2.0239334483892771E-2</v>
      </c>
      <c r="E61" s="7">
        <f t="shared" si="2"/>
        <v>0.97976066551610719</v>
      </c>
      <c r="F61">
        <f t="shared" si="3"/>
        <v>4.048582995951417E-3</v>
      </c>
      <c r="G61" s="9">
        <f t="shared" si="4"/>
        <v>-8.1940625440861419E-5</v>
      </c>
      <c r="H61" s="13">
        <f t="shared" si="5"/>
        <v>1.7992663108601504E-6</v>
      </c>
      <c r="J61">
        <v>252.03</v>
      </c>
      <c r="K61" s="3">
        <f t="shared" si="6"/>
        <v>-7.1560192300747167E-3</v>
      </c>
      <c r="L61">
        <f t="shared" si="7"/>
        <v>-2.8971737773581849E-5</v>
      </c>
      <c r="M61">
        <f t="shared" si="8"/>
        <v>1.6831444013857776E-7</v>
      </c>
      <c r="O61" s="2">
        <v>1270.2</v>
      </c>
      <c r="P61" s="3">
        <f t="shared" si="9"/>
        <v>-9.6369296760501419E-3</v>
      </c>
      <c r="Q61">
        <f t="shared" si="10"/>
        <v>-3.9015909619636204E-5</v>
      </c>
      <c r="R61">
        <f t="shared" si="11"/>
        <v>3.0877613198658351E-7</v>
      </c>
    </row>
    <row r="62" spans="1:18" x14ac:dyDescent="0.25">
      <c r="A62" s="1">
        <v>45894</v>
      </c>
      <c r="B62" s="2">
        <v>3398.9</v>
      </c>
      <c r="C62" s="3">
        <f t="shared" si="0"/>
        <v>-1.204819277108407E-3</v>
      </c>
      <c r="D62" s="3">
        <f t="shared" si="1"/>
        <v>-1.205545655348559E-3</v>
      </c>
      <c r="E62" s="7">
        <f t="shared" si="2"/>
        <v>0.99879445434465142</v>
      </c>
      <c r="F62">
        <f t="shared" si="3"/>
        <v>4.048582995951417E-3</v>
      </c>
      <c r="G62" s="9">
        <f t="shared" si="4"/>
        <v>-4.8807516410872835E-6</v>
      </c>
      <c r="H62" s="13">
        <f t="shared" si="5"/>
        <v>1.6971926718648052E-8</v>
      </c>
      <c r="J62">
        <v>253.84</v>
      </c>
      <c r="K62" s="3">
        <f t="shared" si="6"/>
        <v>2.0698080095657594E-2</v>
      </c>
      <c r="L62">
        <f t="shared" si="7"/>
        <v>8.3797895124119816E-5</v>
      </c>
      <c r="M62">
        <f t="shared" si="8"/>
        <v>1.8551869302739924E-6</v>
      </c>
      <c r="O62" s="2">
        <v>1282.5</v>
      </c>
      <c r="P62" s="3">
        <f t="shared" si="9"/>
        <v>3.8993956430924149E-4</v>
      </c>
      <c r="Q62">
        <f t="shared" si="10"/>
        <v>1.5787026895110992E-6</v>
      </c>
      <c r="R62">
        <f t="shared" si="11"/>
        <v>6.7762742552310459E-9</v>
      </c>
    </row>
    <row r="63" spans="1:18" x14ac:dyDescent="0.25">
      <c r="A63" s="1">
        <v>45891</v>
      </c>
      <c r="B63" s="2">
        <v>3403</v>
      </c>
      <c r="C63" s="3">
        <f t="shared" si="0"/>
        <v>8.2664217356523042E-3</v>
      </c>
      <c r="D63" s="3">
        <f t="shared" si="1"/>
        <v>8.2324420035947126E-3</v>
      </c>
      <c r="E63" s="7">
        <f t="shared" si="2"/>
        <v>1.0082324420035946</v>
      </c>
      <c r="F63">
        <f t="shared" si="3"/>
        <v>4.048582995951417E-3</v>
      </c>
      <c r="G63" s="9">
        <f t="shared" si="4"/>
        <v>3.3329724710909765E-5</v>
      </c>
      <c r="H63" s="13">
        <f t="shared" si="5"/>
        <v>2.2113358267386891E-7</v>
      </c>
      <c r="J63">
        <v>248.64</v>
      </c>
      <c r="K63" s="3">
        <f t="shared" si="6"/>
        <v>-5.094785867407651E-3</v>
      </c>
      <c r="L63">
        <f t="shared" si="7"/>
        <v>-2.0626663430800207E-5</v>
      </c>
      <c r="M63">
        <f t="shared" si="8"/>
        <v>7.7901438024647366E-8</v>
      </c>
      <c r="O63" s="2">
        <v>1282</v>
      </c>
      <c r="P63" s="3">
        <f t="shared" si="9"/>
        <v>-7.6152361177569509E-3</v>
      </c>
      <c r="Q63">
        <f t="shared" si="10"/>
        <v>-3.0830915456505877E-5</v>
      </c>
      <c r="R63">
        <f t="shared" si="11"/>
        <v>1.8236230990659129E-7</v>
      </c>
    </row>
    <row r="64" spans="1:18" x14ac:dyDescent="0.25">
      <c r="A64" s="1">
        <v>45890</v>
      </c>
      <c r="B64" s="2">
        <v>3375.1</v>
      </c>
      <c r="C64" s="3">
        <f t="shared" si="0"/>
        <v>-6.0372246436564969E-3</v>
      </c>
      <c r="D64" s="3">
        <f t="shared" si="1"/>
        <v>-6.0555223665017385E-3</v>
      </c>
      <c r="E64" s="7">
        <f t="shared" si="2"/>
        <v>0.99394447763349825</v>
      </c>
      <c r="F64">
        <f t="shared" si="3"/>
        <v>4.048582995951417E-3</v>
      </c>
      <c r="G64" s="9">
        <f t="shared" si="4"/>
        <v>-2.4516284884622424E-5</v>
      </c>
      <c r="H64" s="13">
        <f t="shared" si="5"/>
        <v>1.9260948881041889E-7</v>
      </c>
      <c r="J64">
        <v>249.91</v>
      </c>
      <c r="K64" s="3">
        <f t="shared" si="6"/>
        <v>-3.7144326281298799E-3</v>
      </c>
      <c r="L64">
        <f t="shared" si="7"/>
        <v>-1.5038188777853764E-5</v>
      </c>
      <c r="M64">
        <f t="shared" si="8"/>
        <v>3.6587471252594817E-8</v>
      </c>
      <c r="O64" s="2">
        <v>1291.8</v>
      </c>
      <c r="P64" s="3">
        <f t="shared" si="9"/>
        <v>5.0444404822861562E-3</v>
      </c>
      <c r="Q64">
        <f t="shared" si="10"/>
        <v>2.0422835960672696E-5</v>
      </c>
      <c r="R64">
        <f t="shared" si="11"/>
        <v>1.4324478630580216E-7</v>
      </c>
    </row>
    <row r="65" spans="1:18" x14ac:dyDescent="0.25">
      <c r="A65" s="1">
        <v>45889</v>
      </c>
      <c r="B65" s="2">
        <v>3395.6</v>
      </c>
      <c r="C65" s="3">
        <f t="shared" si="0"/>
        <v>1.2403100775193771E-2</v>
      </c>
      <c r="D65" s="3">
        <f t="shared" si="1"/>
        <v>1.2326812480658462E-2</v>
      </c>
      <c r="E65" s="7">
        <f t="shared" si="2"/>
        <v>1.0123268124806584</v>
      </c>
      <c r="F65">
        <f t="shared" si="3"/>
        <v>4.048582995951417E-3</v>
      </c>
      <c r="G65" s="9">
        <f t="shared" si="4"/>
        <v>4.9906123403475555E-5</v>
      </c>
      <c r="H65" s="13">
        <f t="shared" si="5"/>
        <v>5.3402038111110628E-7</v>
      </c>
      <c r="J65">
        <v>250.84</v>
      </c>
      <c r="K65" s="3">
        <f t="shared" si="6"/>
        <v>1.5588905480916231E-2</v>
      </c>
      <c r="L65">
        <f t="shared" si="7"/>
        <v>6.3112977655531294E-5</v>
      </c>
      <c r="M65">
        <f t="shared" si="8"/>
        <v>1.0752932460930029E-6</v>
      </c>
      <c r="O65" s="2">
        <v>1285.3</v>
      </c>
      <c r="P65" s="3">
        <f t="shared" si="9"/>
        <v>-9.3701076628689931E-3</v>
      </c>
      <c r="Q65">
        <f t="shared" si="10"/>
        <v>-3.793565855412548E-5</v>
      </c>
      <c r="R65">
        <f t="shared" si="11"/>
        <v>2.9019640283879313E-7</v>
      </c>
    </row>
    <row r="66" spans="1:18" x14ac:dyDescent="0.25">
      <c r="A66" s="1">
        <v>45888</v>
      </c>
      <c r="B66" s="2">
        <v>3354</v>
      </c>
      <c r="C66" s="3">
        <f t="shared" si="0"/>
        <v>-8.6015784339806417E-3</v>
      </c>
      <c r="D66" s="3">
        <f t="shared" si="1"/>
        <v>-8.6387855231975456E-3</v>
      </c>
      <c r="E66" s="7">
        <f t="shared" si="2"/>
        <v>0.99136121447680248</v>
      </c>
      <c r="F66">
        <f t="shared" si="3"/>
        <v>4.048582995951417E-3</v>
      </c>
      <c r="G66" s="9">
        <f t="shared" si="4"/>
        <v>-3.497484017488885E-5</v>
      </c>
      <c r="H66" s="13">
        <f t="shared" si="5"/>
        <v>3.6390100014345657E-7</v>
      </c>
      <c r="J66">
        <v>246.96</v>
      </c>
      <c r="K66" s="3">
        <f t="shared" si="6"/>
        <v>7.1113939291950748E-3</v>
      </c>
      <c r="L66">
        <f t="shared" si="7"/>
        <v>2.8791068539251314E-5</v>
      </c>
      <c r="M66">
        <f t="shared" si="8"/>
        <v>2.4755832209940379E-7</v>
      </c>
      <c r="O66" s="2">
        <v>1297.4000000000001</v>
      </c>
      <c r="P66" s="3">
        <f t="shared" si="9"/>
        <v>-3.2320151258728308E-3</v>
      </c>
      <c r="Q66">
        <f t="shared" si="10"/>
        <v>-1.3085081481266522E-5</v>
      </c>
      <c r="R66">
        <f t="shared" si="11"/>
        <v>2.1945853596107337E-8</v>
      </c>
    </row>
    <row r="67" spans="1:18" x14ac:dyDescent="0.25">
      <c r="A67" s="1">
        <v>45887</v>
      </c>
      <c r="B67" s="2">
        <v>3383.1</v>
      </c>
      <c r="C67" s="3">
        <f t="shared" ref="C67:C130" si="12">(B67-B68)/B68</f>
        <v>3.6044588718074297E-2</v>
      </c>
      <c r="D67" s="3">
        <f t="shared" ref="D67:D130" si="13">LN(B67/B68)</f>
        <v>3.5410182214287558E-2</v>
      </c>
      <c r="E67" s="7">
        <f t="shared" ref="E67:E130" si="14">D67+1</f>
        <v>1.0354101822142876</v>
      </c>
      <c r="F67">
        <f t="shared" ref="F67:F130" si="15">1/247</f>
        <v>4.048582995951417E-3</v>
      </c>
      <c r="G67" s="9">
        <f t="shared" ref="G67:G130" si="16">D67*F67</f>
        <v>1.4336106159630591E-4</v>
      </c>
      <c r="H67" s="13">
        <f t="shared" ref="H67:H130" si="17">(D67-$G$254)^2*F67</f>
        <v>4.8379173757070759E-6</v>
      </c>
      <c r="J67">
        <v>245.21</v>
      </c>
      <c r="K67" s="3">
        <f t="shared" ref="K67:K130" si="18">LN(J67/J68)</f>
        <v>-6.5038235842398489E-3</v>
      </c>
      <c r="L67">
        <f t="shared" ref="L67:L130" si="19">K67*F67</f>
        <v>-2.6331269571821251E-5</v>
      </c>
      <c r="M67">
        <f t="shared" ref="M67:M130" si="20">(K67-$L$254)^2*F67</f>
        <v>1.359863078698137E-7</v>
      </c>
      <c r="O67" s="2">
        <v>1301.5999999999999</v>
      </c>
      <c r="P67" s="3">
        <f t="shared" ref="P67:P130" si="21">LN(O67/O68)</f>
        <v>-2.1283868196355742E-2</v>
      </c>
      <c r="Q67">
        <f t="shared" ref="Q67:Q130" si="22">P67*F67</f>
        <v>-8.6169506867837017E-5</v>
      </c>
      <c r="R67">
        <f t="shared" ref="R67:R130" si="23">(P67-$Q$254)^2*F67</f>
        <v>1.6815689525519832E-6</v>
      </c>
    </row>
    <row r="68" spans="1:18" x14ac:dyDescent="0.25">
      <c r="A68" s="1">
        <v>45883</v>
      </c>
      <c r="B68" s="2">
        <v>3265.4</v>
      </c>
      <c r="C68" s="3">
        <f t="shared" si="12"/>
        <v>-5.1185180671499998E-3</v>
      </c>
      <c r="D68" s="3">
        <f t="shared" si="13"/>
        <v>-5.1316625534633805E-3</v>
      </c>
      <c r="E68" s="7">
        <f t="shared" si="14"/>
        <v>0.99486833744653658</v>
      </c>
      <c r="F68">
        <f t="shared" si="15"/>
        <v>4.048582995951417E-3</v>
      </c>
      <c r="G68" s="9">
        <f t="shared" si="16"/>
        <v>-2.0775961754912472E-5</v>
      </c>
      <c r="H68" s="13">
        <f t="shared" si="17"/>
        <v>1.4446778741060511E-7</v>
      </c>
      <c r="J68">
        <v>246.81</v>
      </c>
      <c r="K68" s="3">
        <f t="shared" si="18"/>
        <v>2.1128411557855532E-2</v>
      </c>
      <c r="L68">
        <f t="shared" si="19"/>
        <v>8.5540127764597294E-5</v>
      </c>
      <c r="M68">
        <f t="shared" si="20"/>
        <v>1.9305262983764607E-6</v>
      </c>
      <c r="O68" s="2">
        <v>1329.6</v>
      </c>
      <c r="P68" s="3">
        <f t="shared" si="21"/>
        <v>-2.4149481352112201E-2</v>
      </c>
      <c r="Q68">
        <f t="shared" si="22"/>
        <v>-9.777117956320729E-5</v>
      </c>
      <c r="R68">
        <f t="shared" si="23"/>
        <v>2.1877008200528411E-6</v>
      </c>
    </row>
    <row r="69" spans="1:18" x14ac:dyDescent="0.25">
      <c r="A69" s="1">
        <v>45882</v>
      </c>
      <c r="B69" s="2">
        <v>3282.2</v>
      </c>
      <c r="C69" s="3">
        <f t="shared" si="12"/>
        <v>1.4120191564962093E-2</v>
      </c>
      <c r="D69" s="3">
        <f t="shared" si="13"/>
        <v>1.4021430259962473E-2</v>
      </c>
      <c r="E69" s="7">
        <f t="shared" si="14"/>
        <v>1.0140214302599624</v>
      </c>
      <c r="F69">
        <f t="shared" si="15"/>
        <v>4.048582995951417E-3</v>
      </c>
      <c r="G69" s="9">
        <f t="shared" si="16"/>
        <v>5.6766924129402727E-5</v>
      </c>
      <c r="H69" s="13">
        <f t="shared" si="17"/>
        <v>7.0323809991208182E-7</v>
      </c>
      <c r="J69">
        <v>241.65</v>
      </c>
      <c r="K69" s="3">
        <f t="shared" si="18"/>
        <v>-2.8963320226464109E-4</v>
      </c>
      <c r="L69">
        <f t="shared" si="19"/>
        <v>-1.1726040577515833E-6</v>
      </c>
      <c r="M69">
        <f t="shared" si="20"/>
        <v>7.0948989951871403E-10</v>
      </c>
      <c r="O69" s="2">
        <v>1362.1</v>
      </c>
      <c r="P69" s="3">
        <f t="shared" si="21"/>
        <v>2.940962343273291E-3</v>
      </c>
      <c r="Q69">
        <f t="shared" si="22"/>
        <v>1.190673013470968E-5</v>
      </c>
      <c r="R69">
        <f t="shared" si="23"/>
        <v>5.9846684807242567E-8</v>
      </c>
    </row>
    <row r="70" spans="1:18" x14ac:dyDescent="0.25">
      <c r="A70" s="1">
        <v>45881</v>
      </c>
      <c r="B70" s="2">
        <v>3236.5</v>
      </c>
      <c r="C70" s="3">
        <f t="shared" si="12"/>
        <v>1.5786830707425831E-2</v>
      </c>
      <c r="D70" s="3">
        <f t="shared" si="13"/>
        <v>1.5663514846770459E-2</v>
      </c>
      <c r="E70" s="7">
        <f t="shared" si="14"/>
        <v>1.0156635148467705</v>
      </c>
      <c r="F70">
        <f t="shared" si="15"/>
        <v>4.048582995951417E-3</v>
      </c>
      <c r="G70" s="9">
        <f t="shared" si="16"/>
        <v>6.3415039865467442E-5</v>
      </c>
      <c r="H70" s="13">
        <f t="shared" si="17"/>
        <v>8.8939284880913437E-7</v>
      </c>
      <c r="J70">
        <v>241.72</v>
      </c>
      <c r="K70" s="3">
        <f t="shared" si="18"/>
        <v>4.1378740194005691E-4</v>
      </c>
      <c r="L70">
        <f t="shared" si="19"/>
        <v>1.6752526394334288E-6</v>
      </c>
      <c r="M70">
        <f t="shared" si="20"/>
        <v>5.0970793684426086E-9</v>
      </c>
      <c r="O70" s="2">
        <v>1358.1</v>
      </c>
      <c r="P70" s="3">
        <f t="shared" si="21"/>
        <v>9.6926510740829724E-3</v>
      </c>
      <c r="Q70">
        <f t="shared" si="22"/>
        <v>3.9241502324222561E-5</v>
      </c>
      <c r="R70">
        <f t="shared" si="23"/>
        <v>4.5459349213773667E-7</v>
      </c>
    </row>
    <row r="71" spans="1:18" x14ac:dyDescent="0.25">
      <c r="A71" s="1">
        <v>45880</v>
      </c>
      <c r="B71" s="2">
        <v>3186.2</v>
      </c>
      <c r="C71" s="3">
        <f t="shared" si="12"/>
        <v>1.3357928884930984E-2</v>
      </c>
      <c r="D71" s="3">
        <f t="shared" si="13"/>
        <v>1.3269498381380996E-2</v>
      </c>
      <c r="E71" s="7">
        <f t="shared" si="14"/>
        <v>1.013269498381381</v>
      </c>
      <c r="F71">
        <f t="shared" si="15"/>
        <v>4.048582995951417E-3</v>
      </c>
      <c r="G71" s="9">
        <f t="shared" si="16"/>
        <v>5.3722665511663951E-5</v>
      </c>
      <c r="H71" s="13">
        <f t="shared" si="17"/>
        <v>6.2528342572883541E-7</v>
      </c>
      <c r="J71">
        <v>241.62</v>
      </c>
      <c r="K71" s="3">
        <f t="shared" si="18"/>
        <v>1.0693509019305384E-2</v>
      </c>
      <c r="L71">
        <f t="shared" si="19"/>
        <v>4.3293558782612893E-5</v>
      </c>
      <c r="M71">
        <f t="shared" si="20"/>
        <v>5.2631666876899151E-7</v>
      </c>
      <c r="O71" s="2">
        <v>1345</v>
      </c>
      <c r="P71" s="3">
        <f t="shared" si="21"/>
        <v>6.8636497444038297E-3</v>
      </c>
      <c r="Q71">
        <f t="shared" si="22"/>
        <v>2.7788055645359633E-5</v>
      </c>
      <c r="R71">
        <f t="shared" si="23"/>
        <v>2.442637308894456E-7</v>
      </c>
    </row>
    <row r="72" spans="1:18" x14ac:dyDescent="0.25">
      <c r="A72" s="1">
        <v>45877</v>
      </c>
      <c r="B72" s="2">
        <v>3144.2</v>
      </c>
      <c r="C72" s="3">
        <f t="shared" si="12"/>
        <v>-2.083398212450565E-2</v>
      </c>
      <c r="D72" s="3">
        <f t="shared" si="13"/>
        <v>-2.105407179329162E-2</v>
      </c>
      <c r="E72" s="7">
        <f t="shared" si="14"/>
        <v>0.97894592820670834</v>
      </c>
      <c r="F72">
        <f t="shared" si="15"/>
        <v>4.048582995951417E-3</v>
      </c>
      <c r="G72" s="9">
        <f t="shared" si="16"/>
        <v>-8.5239157057860818E-5</v>
      </c>
      <c r="H72" s="13">
        <f t="shared" si="17"/>
        <v>1.9410280364318756E-6</v>
      </c>
      <c r="J72">
        <v>239.05</v>
      </c>
      <c r="K72" s="3">
        <f t="shared" si="18"/>
        <v>-1.3586431646869467E-2</v>
      </c>
      <c r="L72">
        <f t="shared" si="19"/>
        <v>-5.5005796141171936E-5</v>
      </c>
      <c r="M72">
        <f t="shared" si="20"/>
        <v>6.7144712564655411E-7</v>
      </c>
      <c r="O72" s="2">
        <v>1335.8</v>
      </c>
      <c r="P72" s="3">
        <f t="shared" si="21"/>
        <v>-1.6114409516554927E-2</v>
      </c>
      <c r="Q72">
        <f t="shared" si="22"/>
        <v>-6.5240524358521967E-5</v>
      </c>
      <c r="R72">
        <f t="shared" si="23"/>
        <v>9.3669192014191156E-7</v>
      </c>
    </row>
    <row r="73" spans="1:18" x14ac:dyDescent="0.25">
      <c r="A73" s="1">
        <v>45876</v>
      </c>
      <c r="B73" s="2">
        <v>3211.1</v>
      </c>
      <c r="C73" s="3">
        <f t="shared" si="12"/>
        <v>-5.0813323005422439E-3</v>
      </c>
      <c r="D73" s="3">
        <f t="shared" si="13"/>
        <v>-5.0942861700923889E-3</v>
      </c>
      <c r="E73" s="7">
        <f t="shared" si="14"/>
        <v>0.99490571382990756</v>
      </c>
      <c r="F73">
        <f t="shared" si="15"/>
        <v>4.048582995951417E-3</v>
      </c>
      <c r="G73" s="9">
        <f t="shared" si="16"/>
        <v>-2.0624640364746514E-5</v>
      </c>
      <c r="H73" s="13">
        <f t="shared" si="17"/>
        <v>1.4266558529830986E-7</v>
      </c>
      <c r="J73">
        <v>242.32</v>
      </c>
      <c r="K73" s="3">
        <f t="shared" si="18"/>
        <v>9.7869239340894858E-3</v>
      </c>
      <c r="L73">
        <f t="shared" si="19"/>
        <v>3.9623173822224636E-5</v>
      </c>
      <c r="M73">
        <f t="shared" si="20"/>
        <v>4.4594646046613903E-7</v>
      </c>
      <c r="O73" s="2">
        <v>1357.5</v>
      </c>
      <c r="P73" s="3">
        <f t="shared" si="21"/>
        <v>2.8088796673181638E-2</v>
      </c>
      <c r="Q73">
        <f t="shared" si="22"/>
        <v>1.1371982458777991E-4</v>
      </c>
      <c r="R73">
        <f t="shared" si="23"/>
        <v>3.4031180634833293E-6</v>
      </c>
    </row>
    <row r="74" spans="1:18" x14ac:dyDescent="0.25">
      <c r="A74" s="1">
        <v>45875</v>
      </c>
      <c r="B74" s="2">
        <v>3227.5</v>
      </c>
      <c r="C74" s="3">
        <f t="shared" si="12"/>
        <v>4.7630907166428564E-3</v>
      </c>
      <c r="D74" s="3">
        <f t="shared" si="13"/>
        <v>4.751783092000827E-3</v>
      </c>
      <c r="E74" s="7">
        <f t="shared" si="14"/>
        <v>1.0047517830920007</v>
      </c>
      <c r="F74">
        <f t="shared" si="15"/>
        <v>4.048582995951417E-3</v>
      </c>
      <c r="G74" s="9">
        <f t="shared" si="16"/>
        <v>1.9237988226723996E-5</v>
      </c>
      <c r="H74" s="13">
        <f t="shared" si="17"/>
        <v>6.1891191603270549E-8</v>
      </c>
      <c r="J74">
        <v>239.96</v>
      </c>
      <c r="K74" s="3">
        <f t="shared" si="18"/>
        <v>-2.4493372548156596E-2</v>
      </c>
      <c r="L74">
        <f t="shared" si="19"/>
        <v>-9.9163451611970028E-5</v>
      </c>
      <c r="M74">
        <f t="shared" si="20"/>
        <v>2.2904122606914183E-6</v>
      </c>
      <c r="O74" s="2">
        <v>1319.9</v>
      </c>
      <c r="P74" s="3">
        <f t="shared" si="21"/>
        <v>4.7845164367452259E-3</v>
      </c>
      <c r="Q74">
        <f t="shared" si="22"/>
        <v>1.9370511889656784E-5</v>
      </c>
      <c r="R74">
        <f t="shared" si="23"/>
        <v>1.3099937551060661E-7</v>
      </c>
    </row>
    <row r="75" spans="1:18" x14ac:dyDescent="0.25">
      <c r="A75" s="1">
        <v>45874</v>
      </c>
      <c r="B75" s="2">
        <v>3212.2</v>
      </c>
      <c r="C75" s="3">
        <f t="shared" si="12"/>
        <v>3.7497656396475224E-3</v>
      </c>
      <c r="D75" s="3">
        <f t="shared" si="13"/>
        <v>3.7427527940225237E-3</v>
      </c>
      <c r="E75" s="7">
        <f t="shared" si="14"/>
        <v>1.0037427527940226</v>
      </c>
      <c r="F75">
        <f t="shared" si="15"/>
        <v>4.048582995951417E-3</v>
      </c>
      <c r="G75" s="9">
        <f t="shared" si="16"/>
        <v>1.5152845319929247E-5</v>
      </c>
      <c r="H75" s="13">
        <f t="shared" si="17"/>
        <v>3.4068426430852601E-8</v>
      </c>
      <c r="J75">
        <v>245.91</v>
      </c>
      <c r="K75" s="3">
        <f t="shared" si="18"/>
        <v>-5.6915197893829257E-4</v>
      </c>
      <c r="L75">
        <f t="shared" si="19"/>
        <v>-2.3042590240416703E-6</v>
      </c>
      <c r="M75">
        <f t="shared" si="20"/>
        <v>7.8338390942476871E-11</v>
      </c>
      <c r="O75" s="2">
        <v>1313.6</v>
      </c>
      <c r="P75" s="3">
        <f t="shared" si="21"/>
        <v>1.1425525864937008E-3</v>
      </c>
      <c r="Q75">
        <f t="shared" si="22"/>
        <v>4.6257189736587076E-6</v>
      </c>
      <c r="R75">
        <f t="shared" si="23"/>
        <v>1.6953536862871231E-8</v>
      </c>
    </row>
    <row r="76" spans="1:18" x14ac:dyDescent="0.25">
      <c r="A76" s="1">
        <v>45873</v>
      </c>
      <c r="B76" s="2">
        <v>3200.2</v>
      </c>
      <c r="C76" s="3">
        <f t="shared" si="12"/>
        <v>1.2945905738612868E-2</v>
      </c>
      <c r="D76" s="3">
        <f t="shared" si="13"/>
        <v>1.2862823780112886E-2</v>
      </c>
      <c r="E76" s="7">
        <f t="shared" si="14"/>
        <v>1.0128628237801129</v>
      </c>
      <c r="F76">
        <f t="shared" si="15"/>
        <v>4.048582995951417E-3</v>
      </c>
      <c r="G76" s="9">
        <f t="shared" si="16"/>
        <v>5.2076209636084561E-5</v>
      </c>
      <c r="H76" s="13">
        <f t="shared" si="17"/>
        <v>5.8503003865069973E-7</v>
      </c>
      <c r="J76">
        <v>246.05</v>
      </c>
      <c r="K76" s="3">
        <f t="shared" si="18"/>
        <v>1.3502660140552866E-2</v>
      </c>
      <c r="L76">
        <f t="shared" si="19"/>
        <v>5.4666640245153302E-5</v>
      </c>
      <c r="M76">
        <f t="shared" si="20"/>
        <v>8.1761174977598644E-7</v>
      </c>
      <c r="O76" s="2">
        <v>1312.1</v>
      </c>
      <c r="P76" s="3">
        <f t="shared" si="21"/>
        <v>1.8383011998879577E-2</v>
      </c>
      <c r="Q76">
        <f t="shared" si="22"/>
        <v>7.4425149793034726E-5</v>
      </c>
      <c r="R76">
        <f t="shared" si="23"/>
        <v>1.5059950783345928E-6</v>
      </c>
    </row>
    <row r="77" spans="1:18" x14ac:dyDescent="0.25">
      <c r="A77" s="1">
        <v>45870</v>
      </c>
      <c r="B77" s="2">
        <v>3159.3</v>
      </c>
      <c r="C77" s="3">
        <f t="shared" si="12"/>
        <v>-1.3674253067340929E-2</v>
      </c>
      <c r="D77" s="3">
        <f t="shared" si="13"/>
        <v>-1.3768606797705111E-2</v>
      </c>
      <c r="E77" s="7">
        <f t="shared" si="14"/>
        <v>0.98623139320229491</v>
      </c>
      <c r="F77">
        <f t="shared" si="15"/>
        <v>4.048582995951417E-3</v>
      </c>
      <c r="G77" s="9">
        <f t="shared" si="16"/>
        <v>-5.5743347359130003E-5</v>
      </c>
      <c r="H77" s="13">
        <f t="shared" si="17"/>
        <v>8.6423942743820678E-7</v>
      </c>
      <c r="J77">
        <v>242.75</v>
      </c>
      <c r="K77" s="3">
        <f t="shared" si="18"/>
        <v>-2.260558534268671E-2</v>
      </c>
      <c r="L77">
        <f t="shared" si="19"/>
        <v>-9.1520588431930004E-5</v>
      </c>
      <c r="M77">
        <f t="shared" si="20"/>
        <v>1.9412675580013872E-6</v>
      </c>
      <c r="O77" s="2">
        <v>1288.2</v>
      </c>
      <c r="P77" s="3">
        <f t="shared" si="21"/>
        <v>-1.6781242082406857E-2</v>
      </c>
      <c r="Q77">
        <f t="shared" si="22"/>
        <v>-6.7940251345776755E-5</v>
      </c>
      <c r="R77">
        <f t="shared" si="23"/>
        <v>1.0206212185998542E-6</v>
      </c>
    </row>
    <row r="78" spans="1:18" x14ac:dyDescent="0.25">
      <c r="A78" s="1">
        <v>45869</v>
      </c>
      <c r="B78" s="2">
        <v>3203.1</v>
      </c>
      <c r="C78" s="3">
        <f t="shared" si="12"/>
        <v>-1.8074729658138868E-3</v>
      </c>
      <c r="D78" s="3">
        <f t="shared" si="13"/>
        <v>-1.8091084160601122E-3</v>
      </c>
      <c r="E78" s="7">
        <f t="shared" si="14"/>
        <v>0.99819089158393992</v>
      </c>
      <c r="F78">
        <f t="shared" si="15"/>
        <v>4.048582995951417E-3</v>
      </c>
      <c r="G78" s="9">
        <f t="shared" si="16"/>
        <v>-7.3243255710935718E-6</v>
      </c>
      <c r="H78" s="13">
        <f t="shared" si="17"/>
        <v>2.8452985014234821E-8</v>
      </c>
      <c r="J78">
        <v>248.3</v>
      </c>
      <c r="K78" s="3">
        <f t="shared" si="18"/>
        <v>-7.622905518689718E-3</v>
      </c>
      <c r="L78">
        <f t="shared" si="19"/>
        <v>-3.086196566271141E-5</v>
      </c>
      <c r="M78">
        <f t="shared" si="20"/>
        <v>1.935724500855588E-7</v>
      </c>
      <c r="O78" s="2">
        <v>1310</v>
      </c>
      <c r="P78" s="3">
        <f t="shared" si="21"/>
        <v>-2.0027119383776486E-2</v>
      </c>
      <c r="Q78">
        <f t="shared" si="22"/>
        <v>-8.10814549950465E-5</v>
      </c>
      <c r="R78">
        <f t="shared" si="23"/>
        <v>1.4805735796154447E-6</v>
      </c>
    </row>
    <row r="79" spans="1:18" x14ac:dyDescent="0.25">
      <c r="A79" s="1">
        <v>45868</v>
      </c>
      <c r="B79" s="2">
        <v>3208.9</v>
      </c>
      <c r="C79" s="3">
        <f t="shared" si="12"/>
        <v>2.9693067450146902E-3</v>
      </c>
      <c r="D79" s="3">
        <f t="shared" si="13"/>
        <v>2.9649070609311574E-3</v>
      </c>
      <c r="E79" s="7">
        <f t="shared" si="14"/>
        <v>1.0029649070609312</v>
      </c>
      <c r="F79">
        <f t="shared" si="15"/>
        <v>4.048582995951417E-3</v>
      </c>
      <c r="G79" s="9">
        <f t="shared" si="16"/>
        <v>1.2003672311462175E-5</v>
      </c>
      <c r="H79" s="13">
        <f t="shared" si="17"/>
        <v>1.8247472085376126E-8</v>
      </c>
      <c r="J79">
        <v>250.2</v>
      </c>
      <c r="K79" s="3">
        <f t="shared" si="18"/>
        <v>-6.3745235774361007E-3</v>
      </c>
      <c r="L79">
        <f t="shared" si="19"/>
        <v>-2.5807787762899192E-5</v>
      </c>
      <c r="M79">
        <f t="shared" si="20"/>
        <v>1.2998624436330201E-7</v>
      </c>
      <c r="O79" s="2">
        <v>1336.5</v>
      </c>
      <c r="P79" s="3">
        <f t="shared" si="21"/>
        <v>8.7172717048960725E-3</v>
      </c>
      <c r="Q79">
        <f t="shared" si="22"/>
        <v>3.5292597995530657E-5</v>
      </c>
      <c r="R79">
        <f t="shared" si="23"/>
        <v>3.7475649704597028E-7</v>
      </c>
    </row>
    <row r="80" spans="1:18" x14ac:dyDescent="0.25">
      <c r="A80" s="1">
        <v>45867</v>
      </c>
      <c r="B80" s="2">
        <v>3199.4</v>
      </c>
      <c r="C80" s="3">
        <f t="shared" si="12"/>
        <v>-3.2400772633809243E-3</v>
      </c>
      <c r="D80" s="3">
        <f t="shared" si="13"/>
        <v>-3.2453376795605151E-3</v>
      </c>
      <c r="E80" s="7">
        <f t="shared" si="14"/>
        <v>0.99675466232043952</v>
      </c>
      <c r="F80">
        <f t="shared" si="15"/>
        <v>4.048582995951417E-3</v>
      </c>
      <c r="G80" s="9">
        <f t="shared" si="16"/>
        <v>-1.313901894558913E-5</v>
      </c>
      <c r="H80" s="13">
        <f t="shared" si="17"/>
        <v>6.7633911354800267E-8</v>
      </c>
      <c r="J80">
        <v>251.8</v>
      </c>
      <c r="K80" s="3">
        <f t="shared" si="18"/>
        <v>6.9742237453341146E-3</v>
      </c>
      <c r="L80">
        <f t="shared" si="19"/>
        <v>2.8235723665320302E-5</v>
      </c>
      <c r="M80">
        <f t="shared" si="20"/>
        <v>2.3894929523143194E-7</v>
      </c>
      <c r="O80" s="2">
        <v>1324.9</v>
      </c>
      <c r="P80" s="3">
        <f t="shared" si="21"/>
        <v>-1.0137885798536788E-2</v>
      </c>
      <c r="Q80">
        <f t="shared" si="22"/>
        <v>-4.1044072058853393E-5</v>
      </c>
      <c r="R80">
        <f t="shared" si="23"/>
        <v>3.452165985388451E-7</v>
      </c>
    </row>
    <row r="81" spans="1:18" x14ac:dyDescent="0.25">
      <c r="A81" s="1">
        <v>45866</v>
      </c>
      <c r="B81" s="2">
        <v>3209.8</v>
      </c>
      <c r="C81" s="3">
        <f t="shared" si="12"/>
        <v>-1.1274026614095585E-2</v>
      </c>
      <c r="D81" s="3">
        <f t="shared" si="13"/>
        <v>-1.1338060184494467E-2</v>
      </c>
      <c r="E81" s="7">
        <f t="shared" si="14"/>
        <v>0.98866193981550554</v>
      </c>
      <c r="F81">
        <f t="shared" si="15"/>
        <v>4.048582995951417E-3</v>
      </c>
      <c r="G81" s="9">
        <f t="shared" si="16"/>
        <v>-4.5903077670018086E-5</v>
      </c>
      <c r="H81" s="13">
        <f t="shared" si="17"/>
        <v>6.0061385253749701E-7</v>
      </c>
      <c r="J81">
        <v>250.05</v>
      </c>
      <c r="K81" s="3">
        <f t="shared" si="18"/>
        <v>-3.5939066613206817E-2</v>
      </c>
      <c r="L81">
        <f t="shared" si="19"/>
        <v>-1.4550229398059442E-4</v>
      </c>
      <c r="M81">
        <f t="shared" si="20"/>
        <v>5.0251421219589186E-6</v>
      </c>
      <c r="O81" s="2">
        <v>1338.4</v>
      </c>
      <c r="P81" s="3">
        <f t="shared" si="21"/>
        <v>9.6851239435340516E-3</v>
      </c>
      <c r="Q81">
        <f t="shared" si="22"/>
        <v>3.9211028111473891E-5</v>
      </c>
      <c r="R81">
        <f t="shared" si="23"/>
        <v>4.5394788503802364E-7</v>
      </c>
    </row>
    <row r="82" spans="1:18" x14ac:dyDescent="0.25">
      <c r="A82" s="1">
        <v>45863</v>
      </c>
      <c r="B82" s="2">
        <v>3246.4</v>
      </c>
      <c r="C82" s="3">
        <f t="shared" si="12"/>
        <v>-4.446625164831795E-3</v>
      </c>
      <c r="D82" s="3">
        <f t="shared" si="13"/>
        <v>-4.4565408075254997E-3</v>
      </c>
      <c r="E82" s="7">
        <f t="shared" si="14"/>
        <v>0.99554345919247456</v>
      </c>
      <c r="F82">
        <f t="shared" si="15"/>
        <v>4.048582995951417E-3</v>
      </c>
      <c r="G82" s="9">
        <f t="shared" si="16"/>
        <v>-1.8042675334111334E-5</v>
      </c>
      <c r="H82" s="13">
        <f t="shared" si="17"/>
        <v>1.1365813071886643E-7</v>
      </c>
      <c r="J82">
        <v>259.2</v>
      </c>
      <c r="K82" s="3">
        <f t="shared" si="18"/>
        <v>-1.0171856247377235E-2</v>
      </c>
      <c r="L82">
        <f t="shared" si="19"/>
        <v>-4.1181604240393666E-5</v>
      </c>
      <c r="M82">
        <f t="shared" si="20"/>
        <v>3.6259009388338198E-7</v>
      </c>
      <c r="O82" s="2">
        <v>1325.5</v>
      </c>
      <c r="P82" s="3">
        <f t="shared" si="21"/>
        <v>-2.3044384522403389E-2</v>
      </c>
      <c r="Q82">
        <f t="shared" si="22"/>
        <v>-9.3297103329568383E-5</v>
      </c>
      <c r="R82">
        <f t="shared" si="23"/>
        <v>1.9846391293843403E-6</v>
      </c>
    </row>
    <row r="83" spans="1:18" x14ac:dyDescent="0.25">
      <c r="A83" s="1">
        <v>45862</v>
      </c>
      <c r="B83" s="2">
        <v>3260.9</v>
      </c>
      <c r="C83" s="3">
        <f t="shared" si="12"/>
        <v>-2.4167890357317946E-3</v>
      </c>
      <c r="D83" s="3">
        <f t="shared" si="13"/>
        <v>-2.4197141842818306E-3</v>
      </c>
      <c r="E83" s="7">
        <f t="shared" si="14"/>
        <v>0.99758028581571812</v>
      </c>
      <c r="F83">
        <f t="shared" si="15"/>
        <v>4.048582995951417E-3</v>
      </c>
      <c r="G83" s="9">
        <f t="shared" si="16"/>
        <v>-9.7964137015458725E-6</v>
      </c>
      <c r="H83" s="13">
        <f t="shared" si="17"/>
        <v>4.3069548028015789E-8</v>
      </c>
      <c r="J83">
        <v>261.85000000000002</v>
      </c>
      <c r="K83" s="3">
        <f t="shared" si="18"/>
        <v>1.7200195353751966E-3</v>
      </c>
      <c r="L83">
        <f t="shared" si="19"/>
        <v>6.9636418436242777E-6</v>
      </c>
      <c r="M83">
        <f t="shared" si="20"/>
        <v>2.3872534549569642E-8</v>
      </c>
      <c r="O83" s="2">
        <v>1356.4</v>
      </c>
      <c r="P83" s="3">
        <f t="shared" si="21"/>
        <v>-4.422495833855382E-4</v>
      </c>
      <c r="Q83">
        <f t="shared" si="22"/>
        <v>-1.7904841432612883E-6</v>
      </c>
      <c r="R83">
        <f t="shared" si="23"/>
        <v>8.6243248822631106E-10</v>
      </c>
    </row>
    <row r="84" spans="1:18" x14ac:dyDescent="0.25">
      <c r="A84" s="1">
        <v>45861</v>
      </c>
      <c r="B84" s="2">
        <v>3268.8</v>
      </c>
      <c r="C84" s="3">
        <f t="shared" si="12"/>
        <v>3.5613410291048643E-3</v>
      </c>
      <c r="D84" s="3">
        <f t="shared" si="13"/>
        <v>3.555014470381489E-3</v>
      </c>
      <c r="E84" s="7">
        <f t="shared" si="14"/>
        <v>1.0035550144703815</v>
      </c>
      <c r="F84">
        <f t="shared" si="15"/>
        <v>4.048582995951417E-3</v>
      </c>
      <c r="G84" s="9">
        <f t="shared" si="16"/>
        <v>1.4392771135147728E-5</v>
      </c>
      <c r="H84" s="13">
        <f t="shared" si="17"/>
        <v>2.9801406788076599E-8</v>
      </c>
      <c r="J84">
        <v>261.39999999999998</v>
      </c>
      <c r="K84" s="3">
        <f t="shared" si="18"/>
        <v>6.5246825214188156E-3</v>
      </c>
      <c r="L84">
        <f t="shared" si="19"/>
        <v>2.6415718710197635E-5</v>
      </c>
      <c r="M84">
        <f t="shared" si="20"/>
        <v>2.1180316460669409E-7</v>
      </c>
      <c r="O84" s="2">
        <v>1357</v>
      </c>
      <c r="P84" s="3">
        <f t="shared" si="21"/>
        <v>1.0519394728989375E-2</v>
      </c>
      <c r="Q84">
        <f t="shared" si="22"/>
        <v>4.2588642627487349E-5</v>
      </c>
      <c r="R84">
        <f t="shared" si="23"/>
        <v>5.2829627832473659E-7</v>
      </c>
    </row>
    <row r="85" spans="1:18" x14ac:dyDescent="0.25">
      <c r="A85" s="1">
        <v>45860</v>
      </c>
      <c r="B85" s="2">
        <v>3257.2</v>
      </c>
      <c r="C85" s="3">
        <f t="shared" si="12"/>
        <v>3.2340530384698312E-3</v>
      </c>
      <c r="D85" s="3">
        <f t="shared" si="13"/>
        <v>3.2288347367580511E-3</v>
      </c>
      <c r="E85" s="7">
        <f t="shared" si="14"/>
        <v>1.0032288347367579</v>
      </c>
      <c r="F85">
        <f t="shared" si="15"/>
        <v>4.048582995951417E-3</v>
      </c>
      <c r="G85" s="9">
        <f t="shared" si="16"/>
        <v>1.3072205411975916E-5</v>
      </c>
      <c r="H85" s="13">
        <f t="shared" si="17"/>
        <v>2.3066477379217087E-8</v>
      </c>
      <c r="J85">
        <v>259.7</v>
      </c>
      <c r="K85" s="3">
        <f t="shared" si="18"/>
        <v>-2.4997609402054193E-3</v>
      </c>
      <c r="L85">
        <f t="shared" si="19"/>
        <v>-1.0120489636459188E-5</v>
      </c>
      <c r="M85">
        <f t="shared" si="20"/>
        <v>1.2993904487241923E-8</v>
      </c>
      <c r="O85" s="2">
        <v>1342.8</v>
      </c>
      <c r="P85" s="3">
        <f t="shared" si="21"/>
        <v>-1.8300392659266338E-2</v>
      </c>
      <c r="Q85">
        <f t="shared" si="22"/>
        <v>-7.4090658539539825E-5</v>
      </c>
      <c r="R85">
        <f t="shared" si="23"/>
        <v>1.2252701873459455E-6</v>
      </c>
    </row>
    <row r="86" spans="1:18" x14ac:dyDescent="0.25">
      <c r="A86" s="1">
        <v>45859</v>
      </c>
      <c r="B86" s="2">
        <v>3246.7</v>
      </c>
      <c r="C86" s="3">
        <f t="shared" si="12"/>
        <v>1.7009146723468153E-2</v>
      </c>
      <c r="D86" s="3">
        <f t="shared" si="13"/>
        <v>1.6866110854364208E-2</v>
      </c>
      <c r="E86" s="7">
        <f t="shared" si="14"/>
        <v>1.0168661108543642</v>
      </c>
      <c r="F86">
        <f t="shared" si="15"/>
        <v>4.048582995951417E-3</v>
      </c>
      <c r="G86" s="9">
        <f t="shared" si="16"/>
        <v>6.8283849612810562E-5</v>
      </c>
      <c r="H86" s="13">
        <f t="shared" si="17"/>
        <v>1.0395752291052373E-6</v>
      </c>
      <c r="J86">
        <v>260.35000000000002</v>
      </c>
      <c r="K86" s="3">
        <f t="shared" si="18"/>
        <v>-2.5034495337287067E-2</v>
      </c>
      <c r="L86">
        <f t="shared" si="19"/>
        <v>-1.0135423213476545E-4</v>
      </c>
      <c r="M86">
        <f t="shared" si="20"/>
        <v>2.3958136875415596E-6</v>
      </c>
      <c r="O86" s="2">
        <v>1367.6</v>
      </c>
      <c r="P86" s="3">
        <f t="shared" si="21"/>
        <v>-7.3094075325111764E-4</v>
      </c>
      <c r="Q86">
        <f t="shared" si="22"/>
        <v>-2.9592743046603953E-6</v>
      </c>
      <c r="R86">
        <f t="shared" si="23"/>
        <v>1.2096087908433699E-10</v>
      </c>
    </row>
    <row r="87" spans="1:18" x14ac:dyDescent="0.25">
      <c r="A87" s="1">
        <v>45856</v>
      </c>
      <c r="B87" s="2">
        <v>3192.4</v>
      </c>
      <c r="C87" s="3">
        <f t="shared" si="12"/>
        <v>-8.1377151799684163E-4</v>
      </c>
      <c r="D87" s="3">
        <f t="shared" si="13"/>
        <v>-8.1410280978137697E-4</v>
      </c>
      <c r="E87" s="7">
        <f t="shared" si="14"/>
        <v>0.99918589719021866</v>
      </c>
      <c r="F87">
        <f t="shared" si="15"/>
        <v>4.048582995951417E-3</v>
      </c>
      <c r="G87" s="9">
        <f t="shared" si="16"/>
        <v>-3.2959627926371539E-6</v>
      </c>
      <c r="H87" s="13">
        <f t="shared" si="17"/>
        <v>1.1102717975877123E-8</v>
      </c>
      <c r="J87">
        <v>266.95</v>
      </c>
      <c r="K87" s="3">
        <f t="shared" si="18"/>
        <v>2.4074710255450424E-2</v>
      </c>
      <c r="L87">
        <f t="shared" si="19"/>
        <v>9.7468462572673778E-5</v>
      </c>
      <c r="M87">
        <f t="shared" si="20"/>
        <v>2.4866208694517865E-6</v>
      </c>
      <c r="O87" s="2">
        <v>1368.6</v>
      </c>
      <c r="P87" s="3">
        <f t="shared" si="21"/>
        <v>-1.248927067488358E-2</v>
      </c>
      <c r="Q87">
        <f t="shared" si="22"/>
        <v>-5.0563848886168339E-5</v>
      </c>
      <c r="R87">
        <f t="shared" si="23"/>
        <v>5.4341429404244337E-7</v>
      </c>
    </row>
    <row r="88" spans="1:18" x14ac:dyDescent="0.25">
      <c r="A88" s="1">
        <v>45855</v>
      </c>
      <c r="B88" s="2">
        <v>3195</v>
      </c>
      <c r="C88" s="3">
        <f t="shared" si="12"/>
        <v>-4.6926325668700139E-4</v>
      </c>
      <c r="D88" s="3">
        <f t="shared" si="13"/>
        <v>-4.6937339514628774E-4</v>
      </c>
      <c r="E88" s="7">
        <f t="shared" si="14"/>
        <v>0.9995306266048537</v>
      </c>
      <c r="F88">
        <f t="shared" si="15"/>
        <v>4.048582995951417E-3</v>
      </c>
      <c r="G88" s="9">
        <f t="shared" si="16"/>
        <v>-1.9002971463412459E-6</v>
      </c>
      <c r="H88" s="13">
        <f t="shared" si="17"/>
        <v>6.9613705723658488E-9</v>
      </c>
      <c r="J88">
        <v>260.60000000000002</v>
      </c>
      <c r="K88" s="3">
        <f t="shared" si="18"/>
        <v>-8.4066219197106752E-3</v>
      </c>
      <c r="L88">
        <f t="shared" si="19"/>
        <v>-3.4034906557533096E-5</v>
      </c>
      <c r="M88">
        <f t="shared" si="20"/>
        <v>2.3993869226153279E-7</v>
      </c>
      <c r="O88" s="2">
        <v>1385.8</v>
      </c>
      <c r="P88" s="3">
        <f t="shared" si="21"/>
        <v>-5.9714555657614478E-3</v>
      </c>
      <c r="Q88">
        <f t="shared" si="22"/>
        <v>-2.4175933464621245E-5</v>
      </c>
      <c r="R88">
        <f t="shared" si="23"/>
        <v>1.0397255206183054E-7</v>
      </c>
    </row>
    <row r="89" spans="1:18" x14ac:dyDescent="0.25">
      <c r="A89" s="1">
        <v>45854</v>
      </c>
      <c r="B89" s="2">
        <v>3196.5</v>
      </c>
      <c r="C89" s="3">
        <f t="shared" si="12"/>
        <v>2.1702998146135681E-2</v>
      </c>
      <c r="D89" s="3">
        <f t="shared" si="13"/>
        <v>2.147084107911159E-2</v>
      </c>
      <c r="E89" s="7">
        <f t="shared" si="14"/>
        <v>1.0214708410791116</v>
      </c>
      <c r="F89">
        <f t="shared" si="15"/>
        <v>4.048582995951417E-3</v>
      </c>
      <c r="G89" s="9">
        <f t="shared" si="16"/>
        <v>8.6926482101666355E-5</v>
      </c>
      <c r="H89" s="13">
        <f t="shared" si="17"/>
        <v>1.7228861770788922E-6</v>
      </c>
      <c r="J89">
        <v>262.8</v>
      </c>
      <c r="K89" s="3">
        <f t="shared" si="18"/>
        <v>2.0761991448429225E-2</v>
      </c>
      <c r="L89">
        <f t="shared" si="19"/>
        <v>8.4056645540199295E-5</v>
      </c>
      <c r="M89">
        <f t="shared" si="20"/>
        <v>1.8662812634622764E-6</v>
      </c>
      <c r="O89" s="2">
        <v>1394.1</v>
      </c>
      <c r="P89" s="3">
        <f t="shared" si="21"/>
        <v>1.7948814812554584E-3</v>
      </c>
      <c r="Q89">
        <f t="shared" si="22"/>
        <v>7.2667266447589406E-6</v>
      </c>
      <c r="R89">
        <f t="shared" si="23"/>
        <v>2.9485162673384037E-8</v>
      </c>
    </row>
    <row r="90" spans="1:18" x14ac:dyDescent="0.25">
      <c r="A90" s="1">
        <v>45853</v>
      </c>
      <c r="B90" s="2">
        <v>3128.6</v>
      </c>
      <c r="C90" s="3">
        <f t="shared" si="12"/>
        <v>1.1804275411532617E-2</v>
      </c>
      <c r="D90" s="3">
        <f t="shared" si="13"/>
        <v>1.1735148416813175E-2</v>
      </c>
      <c r="E90" s="7">
        <f t="shared" si="14"/>
        <v>1.0117351484168131</v>
      </c>
      <c r="F90">
        <f t="shared" si="15"/>
        <v>4.048582995951417E-3</v>
      </c>
      <c r="G90" s="9">
        <f t="shared" si="16"/>
        <v>4.7510722335276016E-5</v>
      </c>
      <c r="H90" s="13">
        <f t="shared" si="17"/>
        <v>4.8041574825099761E-7</v>
      </c>
      <c r="J90">
        <v>257.39999999999998</v>
      </c>
      <c r="K90" s="3">
        <f t="shared" si="18"/>
        <v>1.2313260233356887E-2</v>
      </c>
      <c r="L90">
        <f t="shared" si="19"/>
        <v>4.9851256005493471E-5</v>
      </c>
      <c r="M90">
        <f t="shared" si="20"/>
        <v>6.8647713609654829E-7</v>
      </c>
      <c r="O90" s="2">
        <v>1391.6</v>
      </c>
      <c r="P90" s="3">
        <f t="shared" si="21"/>
        <v>-8.5149525241503092E-3</v>
      </c>
      <c r="Q90">
        <f t="shared" si="22"/>
        <v>-3.4473492000608542E-5</v>
      </c>
      <c r="R90">
        <f t="shared" si="23"/>
        <v>2.3453349818530977E-7</v>
      </c>
    </row>
    <row r="91" spans="1:18" x14ac:dyDescent="0.25">
      <c r="A91" s="1">
        <v>45852</v>
      </c>
      <c r="B91" s="2">
        <v>3092.1</v>
      </c>
      <c r="C91" s="3">
        <f t="shared" si="12"/>
        <v>6.1499414291292763E-3</v>
      </c>
      <c r="D91" s="3">
        <f t="shared" si="13"/>
        <v>6.1311077173769038E-3</v>
      </c>
      <c r="E91" s="7">
        <f t="shared" si="14"/>
        <v>1.0061311077173769</v>
      </c>
      <c r="F91">
        <f t="shared" si="15"/>
        <v>4.048582995951417E-3</v>
      </c>
      <c r="G91" s="9">
        <f t="shared" si="16"/>
        <v>2.4822298450918639E-5</v>
      </c>
      <c r="H91" s="13">
        <f t="shared" si="17"/>
        <v>1.1326168067258137E-7</v>
      </c>
      <c r="J91">
        <v>254.25</v>
      </c>
      <c r="K91" s="3">
        <f t="shared" si="18"/>
        <v>-1.5803665173125571E-2</v>
      </c>
      <c r="L91">
        <f t="shared" si="19"/>
        <v>-6.3982450093625793E-5</v>
      </c>
      <c r="M91">
        <f t="shared" si="20"/>
        <v>9.2255633872069669E-7</v>
      </c>
      <c r="O91" s="2">
        <v>1403.5</v>
      </c>
      <c r="P91" s="3">
        <f t="shared" si="21"/>
        <v>-3.2721611213287409E-3</v>
      </c>
      <c r="Q91">
        <f t="shared" si="22"/>
        <v>-1.3247615875824862E-5</v>
      </c>
      <c r="R91">
        <f t="shared" si="23"/>
        <v>2.2709211576948564E-8</v>
      </c>
    </row>
    <row r="92" spans="1:18" x14ac:dyDescent="0.25">
      <c r="A92" s="1">
        <v>45849</v>
      </c>
      <c r="B92" s="2">
        <v>3073.2</v>
      </c>
      <c r="C92" s="3">
        <f t="shared" si="12"/>
        <v>-2.8206425499620626E-2</v>
      </c>
      <c r="D92" s="3">
        <f t="shared" si="13"/>
        <v>-2.8611868988995946E-2</v>
      </c>
      <c r="E92" s="7">
        <f t="shared" si="14"/>
        <v>0.97138813101100407</v>
      </c>
      <c r="F92">
        <f t="shared" si="15"/>
        <v>4.048582995951417E-3</v>
      </c>
      <c r="G92" s="9">
        <f t="shared" si="16"/>
        <v>-1.1583752627123865E-4</v>
      </c>
      <c r="H92" s="13">
        <f t="shared" si="17"/>
        <v>3.5122468449357026E-6</v>
      </c>
      <c r="J92">
        <v>258.3</v>
      </c>
      <c r="K92" s="3">
        <f t="shared" si="18"/>
        <v>-2.5796787332020305E-2</v>
      </c>
      <c r="L92">
        <f t="shared" si="19"/>
        <v>-1.0444043454259233E-4</v>
      </c>
      <c r="M92">
        <f t="shared" si="20"/>
        <v>2.5483176794423817E-6</v>
      </c>
      <c r="O92" s="2">
        <v>1408.1</v>
      </c>
      <c r="P92" s="3">
        <f t="shared" si="21"/>
        <v>-1.3122807197502933E-2</v>
      </c>
      <c r="Q92">
        <f t="shared" si="22"/>
        <v>-5.312877407895924E-5</v>
      </c>
      <c r="R92">
        <f t="shared" si="23"/>
        <v>6.0447104328804857E-7</v>
      </c>
    </row>
    <row r="93" spans="1:18" x14ac:dyDescent="0.25">
      <c r="A93" s="1">
        <v>45848</v>
      </c>
      <c r="B93" s="2">
        <v>3162.4</v>
      </c>
      <c r="C93" s="3">
        <f t="shared" si="12"/>
        <v>-4.3761609419765415E-3</v>
      </c>
      <c r="D93" s="3">
        <f t="shared" si="13"/>
        <v>-4.3857643619204271E-3</v>
      </c>
      <c r="E93" s="7">
        <f t="shared" si="14"/>
        <v>0.9956142356380796</v>
      </c>
      <c r="F93">
        <f t="shared" si="15"/>
        <v>4.048582995951417E-3</v>
      </c>
      <c r="G93" s="9">
        <f t="shared" si="16"/>
        <v>-1.7756131019920757E-5</v>
      </c>
      <c r="H93" s="13">
        <f t="shared" si="17"/>
        <v>1.1064193062723413E-7</v>
      </c>
      <c r="J93">
        <v>265.05</v>
      </c>
      <c r="K93" s="3">
        <f t="shared" si="18"/>
        <v>-1.0321945823256989E-2</v>
      </c>
      <c r="L93">
        <f t="shared" si="19"/>
        <v>-4.1789254345169996E-5</v>
      </c>
      <c r="M93">
        <f t="shared" si="20"/>
        <v>3.7418241270558744E-7</v>
      </c>
      <c r="O93" s="2">
        <v>1426.7</v>
      </c>
      <c r="P93" s="3">
        <f t="shared" si="21"/>
        <v>-2.1025335606765719E-4</v>
      </c>
      <c r="Q93">
        <f t="shared" si="22"/>
        <v>-8.5122816221723556E-7</v>
      </c>
      <c r="R93">
        <f t="shared" si="23"/>
        <v>1.9473481072075011E-9</v>
      </c>
    </row>
    <row r="94" spans="1:18" x14ac:dyDescent="0.25">
      <c r="A94" s="1">
        <v>45847</v>
      </c>
      <c r="B94" s="2">
        <v>3176.3</v>
      </c>
      <c r="C94" s="3">
        <f t="shared" si="12"/>
        <v>5.8266569555717697E-3</v>
      </c>
      <c r="D94" s="3">
        <f t="shared" si="13"/>
        <v>5.8097476413211573E-3</v>
      </c>
      <c r="E94" s="7">
        <f t="shared" si="14"/>
        <v>1.0058097476413213</v>
      </c>
      <c r="F94">
        <f t="shared" si="15"/>
        <v>4.048582995951417E-3</v>
      </c>
      <c r="G94" s="9">
        <f t="shared" si="16"/>
        <v>2.3521245511421689E-5</v>
      </c>
      <c r="H94" s="13">
        <f t="shared" si="17"/>
        <v>9.9916729101382899E-8</v>
      </c>
      <c r="J94">
        <v>267.8</v>
      </c>
      <c r="K94" s="3">
        <f t="shared" si="18"/>
        <v>-6.8843885261637523E-3</v>
      </c>
      <c r="L94">
        <f t="shared" si="19"/>
        <v>-2.7872018324549604E-5</v>
      </c>
      <c r="M94">
        <f t="shared" si="20"/>
        <v>1.5443169371659899E-7</v>
      </c>
      <c r="O94" s="2">
        <v>1427</v>
      </c>
      <c r="P94" s="3">
        <f t="shared" si="21"/>
        <v>2.0343032514543846E-3</v>
      </c>
      <c r="Q94">
        <f t="shared" si="22"/>
        <v>8.236045552446901E-6</v>
      </c>
      <c r="R94">
        <f t="shared" si="23"/>
        <v>3.4948987970904167E-8</v>
      </c>
    </row>
    <row r="95" spans="1:18" x14ac:dyDescent="0.25">
      <c r="A95" s="1">
        <v>45846</v>
      </c>
      <c r="B95" s="2">
        <v>3157.9</v>
      </c>
      <c r="C95" s="3">
        <f t="shared" si="12"/>
        <v>-7.278020378456197E-4</v>
      </c>
      <c r="D95" s="3">
        <f t="shared" si="13"/>
        <v>-7.2806701432350895E-4</v>
      </c>
      <c r="E95" s="7">
        <f t="shared" si="14"/>
        <v>0.99927193298567651</v>
      </c>
      <c r="F95">
        <f t="shared" si="15"/>
        <v>4.048582995951417E-3</v>
      </c>
      <c r="G95" s="9">
        <f t="shared" si="16"/>
        <v>-2.9476397341032752E-6</v>
      </c>
      <c r="H95" s="13">
        <f t="shared" si="17"/>
        <v>9.9790328240293884E-9</v>
      </c>
      <c r="J95">
        <v>269.64999999999998</v>
      </c>
      <c r="K95" s="3">
        <f t="shared" si="18"/>
        <v>7.0711124553778466E-3</v>
      </c>
      <c r="L95">
        <f t="shared" si="19"/>
        <v>2.8627985649303023E-5</v>
      </c>
      <c r="M95">
        <f t="shared" si="20"/>
        <v>2.4501438950666883E-7</v>
      </c>
      <c r="O95" s="2">
        <v>1424.1</v>
      </c>
      <c r="P95" s="3">
        <f t="shared" si="21"/>
        <v>-1.1658479636364268E-2</v>
      </c>
      <c r="Q95">
        <f t="shared" si="22"/>
        <v>-4.7200322414430232E-5</v>
      </c>
      <c r="R95">
        <f t="shared" si="23"/>
        <v>4.6827254906118334E-7</v>
      </c>
    </row>
    <row r="96" spans="1:18" x14ac:dyDescent="0.25">
      <c r="A96" s="1">
        <v>45845</v>
      </c>
      <c r="B96" s="2">
        <v>3160.2</v>
      </c>
      <c r="C96" s="3">
        <f t="shared" si="12"/>
        <v>-7.272727272727848E-4</v>
      </c>
      <c r="D96" s="3">
        <f t="shared" si="13"/>
        <v>-7.2753731837708999E-4</v>
      </c>
      <c r="E96" s="7">
        <f t="shared" si="14"/>
        <v>0.99927246268162295</v>
      </c>
      <c r="F96">
        <f t="shared" si="15"/>
        <v>4.048582995951417E-3</v>
      </c>
      <c r="G96" s="9">
        <f t="shared" si="16"/>
        <v>-2.9454952161015787E-6</v>
      </c>
      <c r="H96" s="13">
        <f t="shared" si="17"/>
        <v>9.9723002812093993E-9</v>
      </c>
      <c r="J96">
        <v>267.75</v>
      </c>
      <c r="K96" s="3">
        <f t="shared" si="18"/>
        <v>-8.5534177110420453E-3</v>
      </c>
      <c r="L96">
        <f t="shared" si="19"/>
        <v>-3.4629221502194519E-5</v>
      </c>
      <c r="M96">
        <f t="shared" si="20"/>
        <v>2.4917644450400279E-7</v>
      </c>
      <c r="O96" s="2">
        <v>1440.8</v>
      </c>
      <c r="P96" s="3">
        <f t="shared" si="21"/>
        <v>6.9429982654383262E-4</v>
      </c>
      <c r="Q96">
        <f t="shared" si="22"/>
        <v>2.810930471837379E-6</v>
      </c>
      <c r="R96">
        <f t="shared" si="23"/>
        <v>1.0339657836561139E-8</v>
      </c>
    </row>
    <row r="97" spans="1:18" x14ac:dyDescent="0.25">
      <c r="A97" s="1">
        <v>45842</v>
      </c>
      <c r="B97" s="2">
        <v>3162.5</v>
      </c>
      <c r="C97" s="3">
        <f t="shared" si="12"/>
        <v>-3.748739919354867E-3</v>
      </c>
      <c r="D97" s="3">
        <f t="shared" si="13"/>
        <v>-3.7557840547780136E-3</v>
      </c>
      <c r="E97" s="7">
        <f t="shared" si="14"/>
        <v>0.99624421594522194</v>
      </c>
      <c r="F97">
        <f t="shared" si="15"/>
        <v>4.048582995951417E-3</v>
      </c>
      <c r="G97" s="9">
        <f t="shared" si="16"/>
        <v>-1.5205603460639731E-5</v>
      </c>
      <c r="H97" s="13">
        <f t="shared" si="17"/>
        <v>8.5582068614130757E-8</v>
      </c>
      <c r="J97">
        <v>270.05</v>
      </c>
      <c r="K97" s="3">
        <f t="shared" si="18"/>
        <v>1.117122025312089E-2</v>
      </c>
      <c r="L97">
        <f t="shared" si="19"/>
        <v>4.5227612360813321E-5</v>
      </c>
      <c r="M97">
        <f t="shared" si="20"/>
        <v>5.7134383194462311E-7</v>
      </c>
      <c r="O97" s="2">
        <v>1439.8</v>
      </c>
      <c r="P97" s="3">
        <f t="shared" si="21"/>
        <v>-1.8041778539050917E-3</v>
      </c>
      <c r="Q97">
        <f t="shared" si="22"/>
        <v>-7.3043637809922739E-6</v>
      </c>
      <c r="R97">
        <f t="shared" si="23"/>
        <v>3.2821692833385325E-9</v>
      </c>
    </row>
    <row r="98" spans="1:18" x14ac:dyDescent="0.25">
      <c r="A98" s="1">
        <v>45841</v>
      </c>
      <c r="B98" s="2">
        <v>3174.4</v>
      </c>
      <c r="C98" s="3">
        <f t="shared" si="12"/>
        <v>2.9066093769746851E-3</v>
      </c>
      <c r="D98" s="3">
        <f t="shared" si="13"/>
        <v>2.9023933555154999E-3</v>
      </c>
      <c r="E98" s="7">
        <f t="shared" si="14"/>
        <v>1.0029023933555155</v>
      </c>
      <c r="F98">
        <f t="shared" si="15"/>
        <v>4.048582995951417E-3</v>
      </c>
      <c r="G98" s="9">
        <f t="shared" si="16"/>
        <v>1.1750580386702429E-5</v>
      </c>
      <c r="H98" s="13">
        <f t="shared" si="17"/>
        <v>1.7188665891595845E-8</v>
      </c>
      <c r="J98">
        <v>267.05</v>
      </c>
      <c r="K98" s="3">
        <f t="shared" si="18"/>
        <v>1.872483855297768E-4</v>
      </c>
      <c r="L98">
        <f t="shared" si="19"/>
        <v>7.5809062967520976E-7</v>
      </c>
      <c r="M98">
        <f t="shared" si="20"/>
        <v>3.2466634669574705E-9</v>
      </c>
      <c r="O98" s="2">
        <v>1442.4</v>
      </c>
      <c r="P98" s="3">
        <f t="shared" si="21"/>
        <v>-1.8545761297069505E-2</v>
      </c>
      <c r="Q98">
        <f t="shared" si="22"/>
        <v>-7.5084053834289499E-5</v>
      </c>
      <c r="R98">
        <f t="shared" si="23"/>
        <v>1.2600773391188244E-6</v>
      </c>
    </row>
    <row r="99" spans="1:18" x14ac:dyDescent="0.25">
      <c r="A99" s="1">
        <v>45840</v>
      </c>
      <c r="B99" s="2">
        <v>3165.2</v>
      </c>
      <c r="C99" s="3">
        <f t="shared" si="12"/>
        <v>-3.4318818676994083E-3</v>
      </c>
      <c r="D99" s="3">
        <f t="shared" si="13"/>
        <v>-3.4377842824054781E-3</v>
      </c>
      <c r="E99" s="7">
        <f t="shared" si="14"/>
        <v>0.99656221571759451</v>
      </c>
      <c r="F99">
        <f t="shared" si="15"/>
        <v>4.048582995951417E-3</v>
      </c>
      <c r="G99" s="9">
        <f t="shared" si="16"/>
        <v>-1.3918154989495863E-5</v>
      </c>
      <c r="H99" s="13">
        <f t="shared" si="17"/>
        <v>7.4152894080699769E-8</v>
      </c>
      <c r="J99">
        <v>267</v>
      </c>
      <c r="K99" s="3">
        <f t="shared" si="18"/>
        <v>9.2183890501087943E-3</v>
      </c>
      <c r="L99">
        <f t="shared" si="19"/>
        <v>3.7321413158335198E-5</v>
      </c>
      <c r="M99">
        <f t="shared" si="20"/>
        <v>3.9894031275984606E-7</v>
      </c>
      <c r="O99" s="2">
        <v>1469.4</v>
      </c>
      <c r="P99" s="3">
        <f t="shared" si="21"/>
        <v>8.6805507312751103E-3</v>
      </c>
      <c r="Q99">
        <f t="shared" si="22"/>
        <v>3.5143930086134051E-5</v>
      </c>
      <c r="R99">
        <f t="shared" si="23"/>
        <v>3.7190126960808986E-7</v>
      </c>
    </row>
    <row r="100" spans="1:18" x14ac:dyDescent="0.25">
      <c r="A100" s="1">
        <v>45839</v>
      </c>
      <c r="B100" s="2">
        <v>3176.1</v>
      </c>
      <c r="C100" s="3">
        <f t="shared" si="12"/>
        <v>-2.2304599145513662E-3</v>
      </c>
      <c r="D100" s="3">
        <f t="shared" si="13"/>
        <v>-2.2329510952751185E-3</v>
      </c>
      <c r="E100" s="7">
        <f t="shared" si="14"/>
        <v>0.9977670489047249</v>
      </c>
      <c r="F100">
        <f t="shared" si="15"/>
        <v>4.048582995951417E-3</v>
      </c>
      <c r="G100" s="9">
        <f t="shared" si="16"/>
        <v>-9.0402878351219377E-6</v>
      </c>
      <c r="H100" s="13">
        <f t="shared" si="17"/>
        <v>3.827837084141101E-8</v>
      </c>
      <c r="J100">
        <v>264.55</v>
      </c>
      <c r="K100" s="3">
        <f t="shared" si="18"/>
        <v>-5.3908486348764233E-3</v>
      </c>
      <c r="L100">
        <f t="shared" si="19"/>
        <v>-2.1825298116908596E-5</v>
      </c>
      <c r="M100">
        <f t="shared" si="20"/>
        <v>8.877200581085666E-8</v>
      </c>
      <c r="O100" s="2">
        <v>1456.7</v>
      </c>
      <c r="P100" s="3">
        <f t="shared" si="21"/>
        <v>-7.454810026224821E-3</v>
      </c>
      <c r="Q100">
        <f t="shared" si="22"/>
        <v>-3.0181417110221946E-5</v>
      </c>
      <c r="R100">
        <f t="shared" si="23"/>
        <v>1.737483618634024E-7</v>
      </c>
    </row>
    <row r="101" spans="1:18" x14ac:dyDescent="0.25">
      <c r="A101" s="1">
        <v>45838</v>
      </c>
      <c r="B101" s="2">
        <v>3183.2</v>
      </c>
      <c r="C101" s="3">
        <f t="shared" si="12"/>
        <v>-6.2747791340181571E-3</v>
      </c>
      <c r="D101" s="3">
        <f t="shared" si="13"/>
        <v>-6.2945483021054896E-3</v>
      </c>
      <c r="E101" s="7">
        <f t="shared" si="14"/>
        <v>0.99370545169789448</v>
      </c>
      <c r="F101">
        <f t="shared" si="15"/>
        <v>4.048582995951417E-3</v>
      </c>
      <c r="G101" s="9">
        <f t="shared" si="16"/>
        <v>-2.5484001223099149E-5</v>
      </c>
      <c r="H101" s="13">
        <f t="shared" si="17"/>
        <v>2.0619030996194216E-7</v>
      </c>
      <c r="J101">
        <v>265.98</v>
      </c>
      <c r="K101" s="3">
        <f t="shared" si="18"/>
        <v>3.5026305512020745E-3</v>
      </c>
      <c r="L101">
        <f t="shared" si="19"/>
        <v>1.4180690490696658E-5</v>
      </c>
      <c r="M101">
        <f t="shared" si="20"/>
        <v>7.1787672346960758E-8</v>
      </c>
      <c r="O101" s="2">
        <v>1467.6</v>
      </c>
      <c r="P101" s="3">
        <f t="shared" si="21"/>
        <v>-3.8084920897833927E-3</v>
      </c>
      <c r="Q101">
        <f t="shared" si="22"/>
        <v>-1.541899631491252E-5</v>
      </c>
      <c r="R101">
        <f t="shared" si="23"/>
        <v>3.4159053633971665E-8</v>
      </c>
    </row>
    <row r="102" spans="1:18" x14ac:dyDescent="0.25">
      <c r="A102" s="1">
        <v>45835</v>
      </c>
      <c r="B102" s="2">
        <v>3203.3</v>
      </c>
      <c r="C102" s="3">
        <f t="shared" si="12"/>
        <v>-3.8870576528391067E-3</v>
      </c>
      <c r="D102" s="3">
        <f t="shared" si="13"/>
        <v>-3.894631895486997E-3</v>
      </c>
      <c r="E102" s="7">
        <f t="shared" si="14"/>
        <v>0.996105368104513</v>
      </c>
      <c r="F102">
        <f t="shared" si="15"/>
        <v>4.048582995951417E-3</v>
      </c>
      <c r="G102" s="9">
        <f t="shared" si="16"/>
        <v>-1.5767740467558691E-5</v>
      </c>
      <c r="H102" s="13">
        <f t="shared" si="17"/>
        <v>9.082918566768887E-8</v>
      </c>
      <c r="J102">
        <v>265.05</v>
      </c>
      <c r="K102" s="3">
        <f t="shared" si="18"/>
        <v>-1.3006911636735565E-2</v>
      </c>
      <c r="L102">
        <f t="shared" si="19"/>
        <v>-5.2659561282330223E-5</v>
      </c>
      <c r="M102">
        <f t="shared" si="20"/>
        <v>6.1237636061595491E-7</v>
      </c>
      <c r="O102" s="2">
        <v>1473.2</v>
      </c>
      <c r="P102" s="3">
        <f t="shared" si="21"/>
        <v>8.5211327141453651E-3</v>
      </c>
      <c r="Q102">
        <f t="shared" si="22"/>
        <v>3.449851301273427E-5</v>
      </c>
      <c r="R102">
        <f t="shared" si="23"/>
        <v>3.596323646539035E-7</v>
      </c>
    </row>
    <row r="103" spans="1:18" x14ac:dyDescent="0.25">
      <c r="A103" s="1">
        <v>45834</v>
      </c>
      <c r="B103" s="2">
        <v>3215.8</v>
      </c>
      <c r="C103" s="3">
        <f t="shared" si="12"/>
        <v>9.3298087389265095E-5</v>
      </c>
      <c r="D103" s="3">
        <f t="shared" si="13"/>
        <v>9.3293735393468657E-5</v>
      </c>
      <c r="E103" s="7">
        <f t="shared" si="14"/>
        <v>1.0000932937353935</v>
      </c>
      <c r="F103">
        <f t="shared" si="15"/>
        <v>4.048582995951417E-3</v>
      </c>
      <c r="G103" s="9">
        <f t="shared" si="16"/>
        <v>3.7770743074278808E-7</v>
      </c>
      <c r="H103" s="13">
        <f t="shared" si="17"/>
        <v>2.2689194667573668E-9</v>
      </c>
      <c r="J103">
        <v>268.52</v>
      </c>
      <c r="K103" s="3">
        <f t="shared" si="18"/>
        <v>-3.3089837416705068E-3</v>
      </c>
      <c r="L103">
        <f t="shared" si="19"/>
        <v>-1.3396695310406911E-5</v>
      </c>
      <c r="M103">
        <f t="shared" si="20"/>
        <v>2.7383770272655351E-8</v>
      </c>
      <c r="O103" s="2">
        <v>1460.7</v>
      </c>
      <c r="P103" s="3">
        <f t="shared" si="21"/>
        <v>-8.2118666080529591E-4</v>
      </c>
      <c r="Q103">
        <f t="shared" si="22"/>
        <v>-3.3246423514384449E-6</v>
      </c>
      <c r="R103">
        <f t="shared" si="23"/>
        <v>2.7625662596605273E-11</v>
      </c>
    </row>
    <row r="104" spans="1:18" x14ac:dyDescent="0.25">
      <c r="A104" s="1">
        <v>45833</v>
      </c>
      <c r="B104" s="2">
        <v>3215.5</v>
      </c>
      <c r="C104" s="3">
        <f t="shared" si="12"/>
        <v>2.0761245674740515E-2</v>
      </c>
      <c r="D104" s="3">
        <f t="shared" si="13"/>
        <v>2.054866822738776E-2</v>
      </c>
      <c r="E104" s="7">
        <f t="shared" si="14"/>
        <v>1.0205486682273877</v>
      </c>
      <c r="F104">
        <f t="shared" si="15"/>
        <v>4.048582995951417E-3</v>
      </c>
      <c r="G104" s="9">
        <f t="shared" si="16"/>
        <v>8.3192988774849228E-5</v>
      </c>
      <c r="H104" s="13">
        <f t="shared" si="17"/>
        <v>1.5722931342447907E-6</v>
      </c>
      <c r="J104">
        <v>269.41000000000003</v>
      </c>
      <c r="K104" s="3">
        <f t="shared" si="18"/>
        <v>1.6617770781626778E-2</v>
      </c>
      <c r="L104">
        <f t="shared" si="19"/>
        <v>6.7278424217112463E-5</v>
      </c>
      <c r="M104">
        <f t="shared" si="20"/>
        <v>1.2153488296662744E-6</v>
      </c>
      <c r="O104" s="2">
        <v>1461.9</v>
      </c>
      <c r="P104" s="3">
        <f t="shared" si="21"/>
        <v>7.4150700205232066E-3</v>
      </c>
      <c r="Q104">
        <f t="shared" si="22"/>
        <v>3.0020526398879378E-5</v>
      </c>
      <c r="R104">
        <f t="shared" si="23"/>
        <v>2.8017593078235025E-7</v>
      </c>
    </row>
    <row r="105" spans="1:18" x14ac:dyDescent="0.25">
      <c r="A105" s="1">
        <v>45832</v>
      </c>
      <c r="B105" s="2">
        <v>3150.1</v>
      </c>
      <c r="C105" s="3">
        <f t="shared" si="12"/>
        <v>4.8165869218500506E-3</v>
      </c>
      <c r="D105" s="3">
        <f t="shared" si="13"/>
        <v>4.8050242805089691E-3</v>
      </c>
      <c r="E105" s="7">
        <f t="shared" si="14"/>
        <v>1.0048050242805089</v>
      </c>
      <c r="F105">
        <f t="shared" si="15"/>
        <v>4.048582995951417E-3</v>
      </c>
      <c r="G105" s="9">
        <f t="shared" si="16"/>
        <v>1.9453539597202303E-5</v>
      </c>
      <c r="H105" s="13">
        <f t="shared" si="17"/>
        <v>6.3588225743523518E-8</v>
      </c>
      <c r="J105">
        <v>264.97000000000003</v>
      </c>
      <c r="K105" s="3">
        <f t="shared" si="18"/>
        <v>6.5504484426761435E-3</v>
      </c>
      <c r="L105">
        <f t="shared" si="19"/>
        <v>2.6520034180875077E-5</v>
      </c>
      <c r="M105">
        <f t="shared" si="20"/>
        <v>2.1331486690382859E-7</v>
      </c>
      <c r="O105" s="2">
        <v>1451.1</v>
      </c>
      <c r="P105" s="3">
        <f t="shared" si="21"/>
        <v>2.3991666111741857E-2</v>
      </c>
      <c r="Q105">
        <f t="shared" si="22"/>
        <v>9.7132251464541929E-5</v>
      </c>
      <c r="R105">
        <f t="shared" si="23"/>
        <v>2.5092461677336905E-6</v>
      </c>
    </row>
    <row r="106" spans="1:18" x14ac:dyDescent="0.25">
      <c r="A106" s="1">
        <v>45831</v>
      </c>
      <c r="B106" s="2">
        <v>3135</v>
      </c>
      <c r="C106" s="3">
        <f t="shared" si="12"/>
        <v>-1.5513126491646807E-2</v>
      </c>
      <c r="D106" s="3">
        <f t="shared" si="13"/>
        <v>-1.5634714147402102E-2</v>
      </c>
      <c r="E106" s="7">
        <f t="shared" si="14"/>
        <v>0.98436528585259786</v>
      </c>
      <c r="F106">
        <f t="shared" si="15"/>
        <v>4.048582995951417E-3</v>
      </c>
      <c r="G106" s="9">
        <f t="shared" si="16"/>
        <v>-6.329843784373321E-5</v>
      </c>
      <c r="H106" s="13">
        <f t="shared" si="17"/>
        <v>1.0991055578576716E-6</v>
      </c>
      <c r="J106">
        <v>263.24</v>
      </c>
      <c r="K106" s="3">
        <f t="shared" si="18"/>
        <v>-1.2458162563662539E-2</v>
      </c>
      <c r="L106">
        <f t="shared" si="19"/>
        <v>-5.0437905116042667E-5</v>
      </c>
      <c r="M106">
        <f t="shared" si="20"/>
        <v>5.5894871858523504E-7</v>
      </c>
      <c r="O106" s="2">
        <v>1416.7</v>
      </c>
      <c r="P106" s="3">
        <f t="shared" si="21"/>
        <v>1.8954536402258439E-2</v>
      </c>
      <c r="Q106">
        <f t="shared" si="22"/>
        <v>7.6739013774325673E-5</v>
      </c>
      <c r="R106">
        <f t="shared" si="23"/>
        <v>1.5965715873440362E-6</v>
      </c>
    </row>
    <row r="107" spans="1:18" x14ac:dyDescent="0.25">
      <c r="A107" s="1">
        <v>45828</v>
      </c>
      <c r="B107" s="2">
        <v>3184.4</v>
      </c>
      <c r="C107" s="3">
        <f t="shared" si="12"/>
        <v>2.8951790099521747E-2</v>
      </c>
      <c r="D107" s="3">
        <f t="shared" si="13"/>
        <v>2.8540604539123701E-2</v>
      </c>
      <c r="E107" s="7">
        <f t="shared" si="14"/>
        <v>1.0285406045391237</v>
      </c>
      <c r="F107">
        <f t="shared" si="15"/>
        <v>4.048582995951417E-3</v>
      </c>
      <c r="G107" s="9">
        <f t="shared" si="16"/>
        <v>1.1554900623127004E-4</v>
      </c>
      <c r="H107" s="13">
        <f t="shared" si="17"/>
        <v>3.1061449299398284E-6</v>
      </c>
      <c r="J107">
        <v>266.54000000000002</v>
      </c>
      <c r="K107" s="3">
        <f t="shared" si="18"/>
        <v>3.6082125893996584E-3</v>
      </c>
      <c r="L107">
        <f t="shared" si="19"/>
        <v>1.460814813522129E-5</v>
      </c>
      <c r="M107">
        <f t="shared" si="20"/>
        <v>7.543275442580057E-8</v>
      </c>
      <c r="O107" s="2">
        <v>1390.1</v>
      </c>
      <c r="P107" s="3">
        <f t="shared" si="21"/>
        <v>1.6903445741910182E-2</v>
      </c>
      <c r="Q107">
        <f t="shared" si="22"/>
        <v>6.8435003003684952E-5</v>
      </c>
      <c r="R107">
        <f t="shared" si="23"/>
        <v>1.2837963307952527E-6</v>
      </c>
    </row>
    <row r="108" spans="1:18" x14ac:dyDescent="0.25">
      <c r="A108" s="1">
        <v>45827</v>
      </c>
      <c r="B108" s="2">
        <v>3094.8</v>
      </c>
      <c r="C108" s="3">
        <f t="shared" si="12"/>
        <v>1.7658084245832189E-2</v>
      </c>
      <c r="D108" s="3">
        <f t="shared" si="13"/>
        <v>1.7503991618835917E-2</v>
      </c>
      <c r="E108" s="7">
        <f t="shared" si="14"/>
        <v>1.017503991618836</v>
      </c>
      <c r="F108">
        <f t="shared" si="15"/>
        <v>4.048582995951417E-3</v>
      </c>
      <c r="G108" s="9">
        <f t="shared" si="16"/>
        <v>7.0866362829295209E-5</v>
      </c>
      <c r="H108" s="13">
        <f t="shared" si="17"/>
        <v>1.1239879966406701E-6</v>
      </c>
      <c r="J108">
        <v>265.58</v>
      </c>
      <c r="K108" s="3">
        <f t="shared" si="18"/>
        <v>1.5137721009475568E-2</v>
      </c>
      <c r="L108">
        <f t="shared" si="19"/>
        <v>6.1286319876419307E-5</v>
      </c>
      <c r="M108">
        <f t="shared" si="20"/>
        <v>1.0165787366694877E-6</v>
      </c>
      <c r="O108" s="2">
        <v>1366.8</v>
      </c>
      <c r="P108" s="3">
        <f t="shared" si="21"/>
        <v>-1.4959250710064272E-2</v>
      </c>
      <c r="Q108">
        <f t="shared" si="22"/>
        <v>-6.056376805694037E-5</v>
      </c>
      <c r="R108">
        <f t="shared" si="23"/>
        <v>7.9982160787230119E-7</v>
      </c>
    </row>
    <row r="109" spans="1:18" x14ac:dyDescent="0.25">
      <c r="A109" s="1">
        <v>45826</v>
      </c>
      <c r="B109" s="2">
        <v>3041.1</v>
      </c>
      <c r="C109" s="3">
        <f t="shared" si="12"/>
        <v>1.127294493216284E-2</v>
      </c>
      <c r="D109" s="3">
        <f t="shared" si="13"/>
        <v>1.1209878806495507E-2</v>
      </c>
      <c r="E109" s="7">
        <f t="shared" si="14"/>
        <v>1.0112098788064956</v>
      </c>
      <c r="F109">
        <f t="shared" si="15"/>
        <v>4.048582995951417E-3</v>
      </c>
      <c r="G109" s="9">
        <f t="shared" si="16"/>
        <v>4.5384124722653874E-5</v>
      </c>
      <c r="H109" s="13">
        <f t="shared" si="17"/>
        <v>4.3520170662867714E-7</v>
      </c>
      <c r="J109">
        <v>261.58999999999997</v>
      </c>
      <c r="K109" s="3">
        <f t="shared" si="18"/>
        <v>-5.0333757362619738E-3</v>
      </c>
      <c r="L109">
        <f t="shared" si="19"/>
        <v>-2.0378039418064672E-5</v>
      </c>
      <c r="M109">
        <f t="shared" si="20"/>
        <v>7.5735512124018568E-8</v>
      </c>
      <c r="O109" s="2">
        <v>1387.4</v>
      </c>
      <c r="P109" s="3">
        <f t="shared" si="21"/>
        <v>-1.3886129648626368E-2</v>
      </c>
      <c r="Q109">
        <f t="shared" si="22"/>
        <v>-5.6219148375005538E-5</v>
      </c>
      <c r="R109">
        <f t="shared" si="23"/>
        <v>6.823526602177434E-7</v>
      </c>
    </row>
    <row r="110" spans="1:18" x14ac:dyDescent="0.25">
      <c r="A110" s="1">
        <v>45825</v>
      </c>
      <c r="B110" s="2">
        <v>3007.2</v>
      </c>
      <c r="C110" s="3">
        <f t="shared" si="12"/>
        <v>-5.4239978833179291E-3</v>
      </c>
      <c r="D110" s="3">
        <f t="shared" si="13"/>
        <v>-5.438761168053436E-3</v>
      </c>
      <c r="E110" s="7">
        <f t="shared" si="14"/>
        <v>0.99456123883194658</v>
      </c>
      <c r="F110">
        <f t="shared" si="15"/>
        <v>4.048582995951417E-3</v>
      </c>
      <c r="G110" s="9">
        <f t="shared" si="16"/>
        <v>-2.201927598402201E-5</v>
      </c>
      <c r="H110" s="13">
        <f t="shared" si="17"/>
        <v>1.5970365767636845E-7</v>
      </c>
      <c r="J110">
        <v>262.91000000000003</v>
      </c>
      <c r="K110" s="3">
        <f t="shared" si="18"/>
        <v>7.6074553098933194E-5</v>
      </c>
      <c r="L110">
        <f t="shared" si="19"/>
        <v>3.0799414210094413E-7</v>
      </c>
      <c r="M110">
        <f t="shared" si="20"/>
        <v>2.4905767812922145E-9</v>
      </c>
      <c r="O110" s="2">
        <v>1406.8</v>
      </c>
      <c r="P110" s="3">
        <f t="shared" si="21"/>
        <v>-1.0043227497273245E-2</v>
      </c>
      <c r="Q110">
        <f t="shared" si="22"/>
        <v>-4.066084006993217E-5</v>
      </c>
      <c r="R110">
        <f t="shared" si="23"/>
        <v>3.3817527388359288E-7</v>
      </c>
    </row>
    <row r="111" spans="1:18" x14ac:dyDescent="0.25">
      <c r="A111" s="1">
        <v>45824</v>
      </c>
      <c r="B111" s="2">
        <v>3023.6</v>
      </c>
      <c r="C111" s="3">
        <f t="shared" si="12"/>
        <v>5.8549567531603159E-3</v>
      </c>
      <c r="D111" s="3">
        <f t="shared" si="13"/>
        <v>5.8378831051017722E-3</v>
      </c>
      <c r="E111" s="7">
        <f t="shared" si="14"/>
        <v>1.0058378831051018</v>
      </c>
      <c r="F111">
        <f t="shared" si="15"/>
        <v>4.048582995951417E-3</v>
      </c>
      <c r="G111" s="9">
        <f t="shared" si="16"/>
        <v>2.3635154271667093E-5</v>
      </c>
      <c r="H111" s="13">
        <f t="shared" si="17"/>
        <v>1.0105169491824639E-7</v>
      </c>
      <c r="J111">
        <v>262.89</v>
      </c>
      <c r="K111" s="3">
        <f t="shared" si="18"/>
        <v>1.0246696420549978E-2</v>
      </c>
      <c r="L111">
        <f t="shared" si="19"/>
        <v>4.1484600892914892E-5</v>
      </c>
      <c r="M111">
        <f t="shared" si="20"/>
        <v>4.8587431286940898E-7</v>
      </c>
      <c r="O111" s="2">
        <v>1421</v>
      </c>
      <c r="P111" s="3">
        <f t="shared" si="21"/>
        <v>4.9382816405825767E-3</v>
      </c>
      <c r="Q111">
        <f t="shared" si="22"/>
        <v>1.9993043079281688E-5</v>
      </c>
      <c r="R111">
        <f t="shared" si="23"/>
        <v>1.3817739720277216E-7</v>
      </c>
    </row>
    <row r="112" spans="1:18" x14ac:dyDescent="0.25">
      <c r="A112" s="1">
        <v>45821</v>
      </c>
      <c r="B112" s="2">
        <v>3006</v>
      </c>
      <c r="C112" s="3">
        <f t="shared" si="12"/>
        <v>-4.3720190779013707E-3</v>
      </c>
      <c r="D112" s="3">
        <f t="shared" si="13"/>
        <v>-4.3816043013659512E-3</v>
      </c>
      <c r="E112" s="7">
        <f t="shared" si="14"/>
        <v>0.99561839569863408</v>
      </c>
      <c r="F112">
        <f t="shared" si="15"/>
        <v>4.048582995951417E-3</v>
      </c>
      <c r="G112" s="9">
        <f t="shared" si="16"/>
        <v>-1.7739288669497778E-5</v>
      </c>
      <c r="H112" s="13">
        <f t="shared" si="17"/>
        <v>1.1046590811749926E-7</v>
      </c>
      <c r="J112">
        <v>260.20999999999998</v>
      </c>
      <c r="K112" s="3">
        <f t="shared" si="18"/>
        <v>2.3084924260583744E-3</v>
      </c>
      <c r="L112">
        <f t="shared" si="19"/>
        <v>9.3461231824225684E-6</v>
      </c>
      <c r="M112">
        <f t="shared" si="20"/>
        <v>3.6845196598978819E-8</v>
      </c>
      <c r="O112" s="2">
        <v>1414</v>
      </c>
      <c r="P112" s="3">
        <f t="shared" si="21"/>
        <v>1.0736353974133108E-2</v>
      </c>
      <c r="Q112">
        <f t="shared" si="22"/>
        <v>4.3467020138190719E-5</v>
      </c>
      <c r="R112">
        <f t="shared" si="23"/>
        <v>5.4855458999350617E-7</v>
      </c>
    </row>
    <row r="113" spans="1:18" x14ac:dyDescent="0.25">
      <c r="A113" s="1">
        <v>45820</v>
      </c>
      <c r="B113" s="2">
        <v>3019.2</v>
      </c>
      <c r="C113" s="3">
        <f t="shared" si="12"/>
        <v>-1.9962995423118125E-2</v>
      </c>
      <c r="D113" s="3">
        <f t="shared" si="13"/>
        <v>-2.0164948258073214E-2</v>
      </c>
      <c r="E113" s="7">
        <f t="shared" si="14"/>
        <v>0.97983505174192675</v>
      </c>
      <c r="F113">
        <f t="shared" si="15"/>
        <v>4.048582995951417E-3</v>
      </c>
      <c r="G113" s="9">
        <f t="shared" si="16"/>
        <v>-8.1639466631875361E-5</v>
      </c>
      <c r="H113" s="13">
        <f t="shared" si="17"/>
        <v>1.7865911092545635E-6</v>
      </c>
      <c r="J113">
        <v>259.61</v>
      </c>
      <c r="K113" s="3">
        <f t="shared" si="18"/>
        <v>2.6613712119512036E-3</v>
      </c>
      <c r="L113">
        <f t="shared" si="19"/>
        <v>1.0774782234620257E-5</v>
      </c>
      <c r="M113">
        <f t="shared" si="20"/>
        <v>4.5969146410211048E-8</v>
      </c>
      <c r="O113" s="2">
        <v>1398.9</v>
      </c>
      <c r="P113" s="3">
        <f t="shared" si="21"/>
        <v>-2.366514564189276E-2</v>
      </c>
      <c r="Q113">
        <f t="shared" si="22"/>
        <v>-9.5810306242480816E-5</v>
      </c>
      <c r="R113">
        <f t="shared" si="23"/>
        <v>2.0974868344258273E-6</v>
      </c>
    </row>
    <row r="114" spans="1:18" x14ac:dyDescent="0.25">
      <c r="A114" s="1">
        <v>45819</v>
      </c>
      <c r="B114" s="2">
        <v>3080.7</v>
      </c>
      <c r="C114" s="3">
        <f t="shared" si="12"/>
        <v>4.3031784841075201E-3</v>
      </c>
      <c r="D114" s="3">
        <f t="shared" si="13"/>
        <v>4.2939462872923877E-3</v>
      </c>
      <c r="E114" s="7">
        <f t="shared" si="14"/>
        <v>1.0042939462872924</v>
      </c>
      <c r="F114">
        <f t="shared" si="15"/>
        <v>4.048582995951417E-3</v>
      </c>
      <c r="G114" s="9">
        <f t="shared" si="16"/>
        <v>1.7384397924260679E-5</v>
      </c>
      <c r="H114" s="13">
        <f t="shared" si="17"/>
        <v>4.8245219838636621E-8</v>
      </c>
      <c r="J114">
        <v>258.92</v>
      </c>
      <c r="K114" s="3">
        <f t="shared" si="18"/>
        <v>1.5765522434654188E-2</v>
      </c>
      <c r="L114">
        <f t="shared" si="19"/>
        <v>6.3828026051231538E-5</v>
      </c>
      <c r="M114">
        <f t="shared" si="20"/>
        <v>1.098726052326059E-6</v>
      </c>
      <c r="O114" s="2">
        <v>1432.4</v>
      </c>
      <c r="P114" s="3">
        <f t="shared" si="21"/>
        <v>-1.3315037214637504E-2</v>
      </c>
      <c r="Q114">
        <f t="shared" si="22"/>
        <v>-5.3907033257641714E-5</v>
      </c>
      <c r="R114">
        <f t="shared" si="23"/>
        <v>6.2363977050133445E-7</v>
      </c>
    </row>
    <row r="115" spans="1:18" x14ac:dyDescent="0.25">
      <c r="A115" s="1">
        <v>45818</v>
      </c>
      <c r="B115" s="2">
        <v>3067.5</v>
      </c>
      <c r="C115" s="3">
        <f t="shared" si="12"/>
        <v>-6.445552892401403E-3</v>
      </c>
      <c r="D115" s="3">
        <f t="shared" si="13"/>
        <v>-6.4664151626744985E-3</v>
      </c>
      <c r="E115" s="7">
        <f t="shared" si="14"/>
        <v>0.99353358483732546</v>
      </c>
      <c r="F115">
        <f t="shared" si="15"/>
        <v>4.048582995951417E-3</v>
      </c>
      <c r="G115" s="9">
        <f t="shared" si="16"/>
        <v>-2.6179818472366391E-5</v>
      </c>
      <c r="H115" s="13">
        <f t="shared" si="17"/>
        <v>2.1624123648124576E-7</v>
      </c>
      <c r="J115">
        <v>254.87</v>
      </c>
      <c r="K115" s="3">
        <f t="shared" si="18"/>
        <v>1.4145960560879247E-2</v>
      </c>
      <c r="L115">
        <f t="shared" si="19"/>
        <v>5.7271095388175089E-5</v>
      </c>
      <c r="M115">
        <f t="shared" si="20"/>
        <v>8.9331057764251771E-7</v>
      </c>
      <c r="O115" s="2">
        <v>1451.6</v>
      </c>
      <c r="P115" s="3">
        <f t="shared" si="21"/>
        <v>3.10644819155667E-2</v>
      </c>
      <c r="Q115">
        <f t="shared" si="22"/>
        <v>1.2576713326140364E-4</v>
      </c>
      <c r="R115">
        <f t="shared" si="23"/>
        <v>4.1375323770199373E-6</v>
      </c>
    </row>
    <row r="116" spans="1:18" x14ac:dyDescent="0.25">
      <c r="A116" s="1">
        <v>45817</v>
      </c>
      <c r="B116" s="2">
        <v>3087.4</v>
      </c>
      <c r="C116" s="3">
        <f t="shared" si="12"/>
        <v>-6.148398519233835E-3</v>
      </c>
      <c r="D116" s="3">
        <f t="shared" si="13"/>
        <v>-6.1673777560076332E-3</v>
      </c>
      <c r="E116" s="7">
        <f t="shared" si="14"/>
        <v>0.99383262224399238</v>
      </c>
      <c r="F116">
        <f t="shared" si="15"/>
        <v>4.048582995951417E-3</v>
      </c>
      <c r="G116" s="9">
        <f t="shared" si="16"/>
        <v>-2.4969140712581511E-5</v>
      </c>
      <c r="H116" s="13">
        <f t="shared" si="17"/>
        <v>1.9890722612791102E-7</v>
      </c>
      <c r="J116">
        <v>251.29</v>
      </c>
      <c r="K116" s="3">
        <f t="shared" si="18"/>
        <v>1.0802697675687123E-2</v>
      </c>
      <c r="L116">
        <f t="shared" si="19"/>
        <v>4.3735618120190781E-5</v>
      </c>
      <c r="M116">
        <f t="shared" si="20"/>
        <v>5.3644544891749007E-7</v>
      </c>
      <c r="O116" s="2">
        <v>1407.2</v>
      </c>
      <c r="P116" s="3">
        <f t="shared" si="21"/>
        <v>-5.6834329463922341E-4</v>
      </c>
      <c r="Q116">
        <f t="shared" si="22"/>
        <v>-2.3009849985393661E-6</v>
      </c>
      <c r="R116">
        <f t="shared" si="23"/>
        <v>4.5556847783620503E-10</v>
      </c>
    </row>
    <row r="117" spans="1:18" x14ac:dyDescent="0.25">
      <c r="A117" s="1">
        <v>45814</v>
      </c>
      <c r="B117" s="2">
        <v>3106.5</v>
      </c>
      <c r="C117" s="3">
        <f t="shared" si="12"/>
        <v>2.133745397159393E-2</v>
      </c>
      <c r="D117" s="3">
        <f t="shared" si="13"/>
        <v>2.111299776958396E-2</v>
      </c>
      <c r="E117" s="7">
        <f t="shared" si="14"/>
        <v>1.0211129977695839</v>
      </c>
      <c r="F117">
        <f t="shared" si="15"/>
        <v>4.048582995951417E-3</v>
      </c>
      <c r="G117" s="9">
        <f t="shared" si="16"/>
        <v>8.5477723763497819E-5</v>
      </c>
      <c r="H117" s="13">
        <f t="shared" si="17"/>
        <v>1.6636319275413186E-6</v>
      </c>
      <c r="J117">
        <v>248.59</v>
      </c>
      <c r="K117" s="3">
        <f t="shared" si="18"/>
        <v>2.6181715960883509E-3</v>
      </c>
      <c r="L117">
        <f t="shared" si="19"/>
        <v>1.059988500440628E-5</v>
      </c>
      <c r="M117">
        <f t="shared" si="20"/>
        <v>4.479802540609777E-8</v>
      </c>
      <c r="O117" s="2">
        <v>1408</v>
      </c>
      <c r="P117" s="3">
        <f t="shared" si="21"/>
        <v>-1.7739937240632685E-3</v>
      </c>
      <c r="Q117">
        <f t="shared" si="22"/>
        <v>-7.1821608261670794E-6</v>
      </c>
      <c r="R117">
        <f t="shared" si="23"/>
        <v>3.0657980965645871E-9</v>
      </c>
    </row>
    <row r="118" spans="1:18" x14ac:dyDescent="0.25">
      <c r="A118" s="1">
        <v>45813</v>
      </c>
      <c r="B118" s="2">
        <v>3041.6</v>
      </c>
      <c r="C118" s="3">
        <f t="shared" si="12"/>
        <v>-3.8645444422611454E-3</v>
      </c>
      <c r="D118" s="3">
        <f t="shared" si="13"/>
        <v>-3.8720310886773287E-3</v>
      </c>
      <c r="E118" s="7">
        <f t="shared" si="14"/>
        <v>0.99612796891132271</v>
      </c>
      <c r="F118">
        <f t="shared" si="15"/>
        <v>4.048582995951417E-3</v>
      </c>
      <c r="G118" s="9">
        <f t="shared" si="16"/>
        <v>-1.5676239225414286E-5</v>
      </c>
      <c r="H118" s="13">
        <f t="shared" si="17"/>
        <v>8.9964455127309496E-8</v>
      </c>
      <c r="J118">
        <v>247.94</v>
      </c>
      <c r="K118" s="3">
        <f t="shared" si="18"/>
        <v>4.3654070942181237E-3</v>
      </c>
      <c r="L118">
        <f t="shared" si="19"/>
        <v>1.7673712932057182E-5</v>
      </c>
      <c r="M118">
        <f t="shared" si="20"/>
        <v>1.0421880392510979E-7</v>
      </c>
      <c r="O118" s="2">
        <v>1410.5</v>
      </c>
      <c r="P118" s="3">
        <f t="shared" si="21"/>
        <v>-6.0786163984407953E-3</v>
      </c>
      <c r="Q118">
        <f t="shared" si="22"/>
        <v>-2.4609782989638849E-5</v>
      </c>
      <c r="R118">
        <f t="shared" si="23"/>
        <v>1.0841625114317598E-7</v>
      </c>
    </row>
    <row r="119" spans="1:18" x14ac:dyDescent="0.25">
      <c r="A119" s="1">
        <v>45812</v>
      </c>
      <c r="B119" s="2">
        <v>3053.4</v>
      </c>
      <c r="C119" s="3">
        <f t="shared" si="12"/>
        <v>2.2648941408173612E-3</v>
      </c>
      <c r="D119" s="3">
        <f t="shared" si="13"/>
        <v>2.2623331342930203E-3</v>
      </c>
      <c r="E119" s="7">
        <f t="shared" si="14"/>
        <v>1.002262333134293</v>
      </c>
      <c r="F119">
        <f t="shared" si="15"/>
        <v>4.048582995951417E-3</v>
      </c>
      <c r="G119" s="9">
        <f t="shared" si="16"/>
        <v>9.1592434586761959E-6</v>
      </c>
      <c r="H119" s="13">
        <f t="shared" si="17"/>
        <v>8.1684532731490916E-9</v>
      </c>
      <c r="J119">
        <v>246.86</v>
      </c>
      <c r="K119" s="3">
        <f t="shared" si="18"/>
        <v>2.5959290963136579E-3</v>
      </c>
      <c r="L119">
        <f t="shared" si="19"/>
        <v>1.0509834398031004E-5</v>
      </c>
      <c r="M119">
        <f t="shared" si="20"/>
        <v>4.4200934936568497E-8</v>
      </c>
      <c r="O119" s="2">
        <v>1419.1</v>
      </c>
      <c r="P119" s="3">
        <f t="shared" si="21"/>
        <v>1.1196262083401649E-2</v>
      </c>
      <c r="Q119">
        <f t="shared" si="22"/>
        <v>4.5328996289075501E-5</v>
      </c>
      <c r="R119">
        <f t="shared" si="23"/>
        <v>5.9275827398711208E-7</v>
      </c>
    </row>
    <row r="120" spans="1:18" x14ac:dyDescent="0.25">
      <c r="A120" s="1">
        <v>45811</v>
      </c>
      <c r="B120" s="2">
        <v>3046.5</v>
      </c>
      <c r="C120" s="3">
        <f t="shared" si="12"/>
        <v>6.8078918668825501E-3</v>
      </c>
      <c r="D120" s="3">
        <f t="shared" si="13"/>
        <v>6.7848228129453675E-3</v>
      </c>
      <c r="E120" s="7">
        <f t="shared" si="14"/>
        <v>1.0067848228129455</v>
      </c>
      <c r="F120">
        <f t="shared" si="15"/>
        <v>4.048582995951417E-3</v>
      </c>
      <c r="G120" s="9">
        <f t="shared" si="16"/>
        <v>2.7468918271033877E-5</v>
      </c>
      <c r="H120" s="13">
        <f t="shared" si="17"/>
        <v>1.4298881834881411E-7</v>
      </c>
      <c r="J120">
        <v>246.22</v>
      </c>
      <c r="K120" s="3">
        <f t="shared" si="18"/>
        <v>-5.9121451818933655E-3</v>
      </c>
      <c r="L120">
        <f t="shared" si="19"/>
        <v>-2.3935810453009578E-5</v>
      </c>
      <c r="M120">
        <f t="shared" si="20"/>
        <v>1.0963755289709839E-7</v>
      </c>
      <c r="O120" s="2">
        <v>1403.3</v>
      </c>
      <c r="P120" s="3">
        <f t="shared" si="21"/>
        <v>4.8574993718584593E-3</v>
      </c>
      <c r="Q120">
        <f t="shared" si="22"/>
        <v>1.9665989359750848E-5</v>
      </c>
      <c r="R120">
        <f t="shared" si="23"/>
        <v>1.3438247392577383E-7</v>
      </c>
    </row>
    <row r="121" spans="1:18" x14ac:dyDescent="0.25">
      <c r="A121" s="1">
        <v>45810</v>
      </c>
      <c r="B121" s="2">
        <v>3025.9</v>
      </c>
      <c r="C121" s="3">
        <f t="shared" si="12"/>
        <v>1.6494221983337779E-2</v>
      </c>
      <c r="D121" s="3">
        <f t="shared" si="13"/>
        <v>1.6359669843190861E-2</v>
      </c>
      <c r="E121" s="7">
        <f t="shared" si="14"/>
        <v>1.0163596698431909</v>
      </c>
      <c r="F121">
        <f t="shared" si="15"/>
        <v>4.048582995951417E-3</v>
      </c>
      <c r="G121" s="9">
        <f t="shared" si="16"/>
        <v>6.6233481146521701E-5</v>
      </c>
      <c r="H121" s="13">
        <f t="shared" si="17"/>
        <v>9.7490257875246681E-7</v>
      </c>
      <c r="J121">
        <v>247.68</v>
      </c>
      <c r="K121" s="3">
        <f t="shared" si="18"/>
        <v>-8.0024554934683169E-3</v>
      </c>
      <c r="L121">
        <f t="shared" si="19"/>
        <v>-3.2398605236713832E-5</v>
      </c>
      <c r="M121">
        <f t="shared" si="20"/>
        <v>2.1540633360208482E-7</v>
      </c>
      <c r="O121" s="2">
        <v>1396.5</v>
      </c>
      <c r="P121" s="3">
        <f t="shared" si="21"/>
        <v>1.6242912602936869E-2</v>
      </c>
      <c r="Q121">
        <f t="shared" si="22"/>
        <v>6.5760779768975173E-5</v>
      </c>
      <c r="R121">
        <f t="shared" si="23"/>
        <v>1.1903216893794569E-6</v>
      </c>
    </row>
    <row r="122" spans="1:18" x14ac:dyDescent="0.25">
      <c r="A122" s="1">
        <v>45807</v>
      </c>
      <c r="B122" s="2">
        <v>2976.8</v>
      </c>
      <c r="C122" s="3">
        <f t="shared" si="12"/>
        <v>-1.0701229644400073E-2</v>
      </c>
      <c r="D122" s="3">
        <f t="shared" si="13"/>
        <v>-1.075889959763247E-2</v>
      </c>
      <c r="E122" s="7">
        <f t="shared" si="14"/>
        <v>0.98924110040236757</v>
      </c>
      <c r="F122">
        <f t="shared" si="15"/>
        <v>4.048582995951417E-3</v>
      </c>
      <c r="G122" s="9">
        <f t="shared" si="16"/>
        <v>-4.3558297966123358E-5</v>
      </c>
      <c r="H122" s="13">
        <f t="shared" si="17"/>
        <v>5.4485317279495083E-7</v>
      </c>
      <c r="J122">
        <v>249.67</v>
      </c>
      <c r="K122" s="3">
        <f t="shared" si="18"/>
        <v>-1.8807152259298844E-3</v>
      </c>
      <c r="L122">
        <f t="shared" si="19"/>
        <v>-7.614231683926658E-6</v>
      </c>
      <c r="M122">
        <f t="shared" si="20"/>
        <v>5.5654394888509049E-9</v>
      </c>
      <c r="O122" s="2">
        <v>1374</v>
      </c>
      <c r="P122" s="3">
        <f t="shared" si="21"/>
        <v>-1.9031716298216074E-2</v>
      </c>
      <c r="Q122">
        <f t="shared" si="22"/>
        <v>-7.705148298872904E-5</v>
      </c>
      <c r="R122">
        <f t="shared" si="23"/>
        <v>1.3304520730921495E-6</v>
      </c>
    </row>
    <row r="123" spans="1:18" x14ac:dyDescent="0.25">
      <c r="A123" s="1">
        <v>45806</v>
      </c>
      <c r="B123" s="2">
        <v>3009</v>
      </c>
      <c r="C123" s="3">
        <f t="shared" si="12"/>
        <v>3.7360731202881504E-3</v>
      </c>
      <c r="D123" s="3">
        <f t="shared" si="13"/>
        <v>3.7291113335498538E-3</v>
      </c>
      <c r="E123" s="7">
        <f t="shared" si="14"/>
        <v>1.0037291113335498</v>
      </c>
      <c r="F123">
        <f t="shared" si="15"/>
        <v>4.048582995951417E-3</v>
      </c>
      <c r="G123" s="9">
        <f t="shared" si="16"/>
        <v>1.5097616735019652E-5</v>
      </c>
      <c r="H123" s="13">
        <f t="shared" si="17"/>
        <v>3.3748760707967901E-8</v>
      </c>
      <c r="J123">
        <v>250.14</v>
      </c>
      <c r="K123" s="3">
        <f t="shared" si="18"/>
        <v>1.0893047398305329E-2</v>
      </c>
      <c r="L123">
        <f t="shared" si="19"/>
        <v>4.4101406470871776E-5</v>
      </c>
      <c r="M123">
        <f t="shared" si="20"/>
        <v>5.4489964240295786E-7</v>
      </c>
      <c r="O123" s="2">
        <v>1400.4</v>
      </c>
      <c r="P123" s="3">
        <f t="shared" si="21"/>
        <v>3.0036495442096731E-3</v>
      </c>
      <c r="Q123">
        <f t="shared" si="22"/>
        <v>1.2160524470484507E-5</v>
      </c>
      <c r="R123">
        <f t="shared" si="23"/>
        <v>6.1814147895611694E-8</v>
      </c>
    </row>
    <row r="124" spans="1:18" x14ac:dyDescent="0.25">
      <c r="A124" s="1">
        <v>45805</v>
      </c>
      <c r="B124" s="2">
        <v>2997.8</v>
      </c>
      <c r="C124" s="3">
        <f t="shared" si="12"/>
        <v>-1.3816698467004408E-2</v>
      </c>
      <c r="D124" s="3">
        <f t="shared" si="13"/>
        <v>-1.3913037465865424E-2</v>
      </c>
      <c r="E124" s="7">
        <f t="shared" si="14"/>
        <v>0.98608696253413453</v>
      </c>
      <c r="F124">
        <f t="shared" si="15"/>
        <v>4.048582995951417E-3</v>
      </c>
      <c r="G124" s="9">
        <f t="shared" si="16"/>
        <v>-5.6328086906337751E-5</v>
      </c>
      <c r="H124" s="13">
        <f t="shared" si="17"/>
        <v>8.814105732131161E-7</v>
      </c>
      <c r="J124">
        <v>247.43</v>
      </c>
      <c r="K124" s="3">
        <f t="shared" si="18"/>
        <v>-3.3085892028269399E-3</v>
      </c>
      <c r="L124">
        <f t="shared" si="19"/>
        <v>-1.3395097987153603E-5</v>
      </c>
      <c r="M124">
        <f t="shared" si="20"/>
        <v>2.7375462493092425E-8</v>
      </c>
      <c r="O124" s="2">
        <v>1396.2</v>
      </c>
      <c r="P124" s="3">
        <f t="shared" si="21"/>
        <v>-2.0698215531469291E-2</v>
      </c>
      <c r="Q124">
        <f t="shared" si="22"/>
        <v>-8.3798443447244094E-5</v>
      </c>
      <c r="R124">
        <f t="shared" si="23"/>
        <v>1.5863126628387019E-6</v>
      </c>
    </row>
    <row r="125" spans="1:18" x14ac:dyDescent="0.25">
      <c r="A125" s="1">
        <v>45804</v>
      </c>
      <c r="B125" s="2">
        <v>3039.8</v>
      </c>
      <c r="C125" s="3">
        <f t="shared" si="12"/>
        <v>-1.3116031426530627E-2</v>
      </c>
      <c r="D125" s="3">
        <f t="shared" si="13"/>
        <v>-1.3202806162004196E-2</v>
      </c>
      <c r="E125" s="7">
        <f t="shared" si="14"/>
        <v>0.9867971938379958</v>
      </c>
      <c r="F125">
        <f t="shared" si="15"/>
        <v>4.048582995951417E-3</v>
      </c>
      <c r="G125" s="9">
        <f t="shared" si="16"/>
        <v>-5.3452656526332779E-5</v>
      </c>
      <c r="H125" s="13">
        <f t="shared" si="17"/>
        <v>7.9859915778765899E-7</v>
      </c>
      <c r="J125">
        <v>248.25</v>
      </c>
      <c r="K125" s="3">
        <f t="shared" si="18"/>
        <v>-7.9841544316643764E-3</v>
      </c>
      <c r="L125">
        <f t="shared" si="19"/>
        <v>-3.2324511869086543E-5</v>
      </c>
      <c r="M125">
        <f t="shared" si="20"/>
        <v>2.1432678579579553E-7</v>
      </c>
      <c r="O125" s="2">
        <v>1425.4</v>
      </c>
      <c r="P125" s="3">
        <f t="shared" si="21"/>
        <v>-4.9096967495086544E-4</v>
      </c>
      <c r="Q125">
        <f t="shared" si="22"/>
        <v>-1.9877314775338681E-6</v>
      </c>
      <c r="R125">
        <f t="shared" si="23"/>
        <v>6.8996662065861453E-10</v>
      </c>
    </row>
    <row r="126" spans="1:18" x14ac:dyDescent="0.25">
      <c r="A126" s="1">
        <v>45803</v>
      </c>
      <c r="B126" s="2">
        <v>3080.2</v>
      </c>
      <c r="C126" s="3">
        <f t="shared" si="12"/>
        <v>2.2405151525209947E-2</v>
      </c>
      <c r="D126" s="3">
        <f t="shared" si="13"/>
        <v>2.2157843287682208E-2</v>
      </c>
      <c r="E126" s="7">
        <f t="shared" si="14"/>
        <v>1.0221578432876821</v>
      </c>
      <c r="F126">
        <f t="shared" si="15"/>
        <v>4.048582995951417E-3</v>
      </c>
      <c r="G126" s="9">
        <f t="shared" si="16"/>
        <v>8.9707867561466433E-5</v>
      </c>
      <c r="H126" s="13">
        <f t="shared" si="17"/>
        <v>1.8395510248436011E-6</v>
      </c>
      <c r="J126">
        <v>250.24</v>
      </c>
      <c r="K126" s="3">
        <f t="shared" si="18"/>
        <v>1.1575691957889052E-2</v>
      </c>
      <c r="L126">
        <f t="shared" si="19"/>
        <v>4.6865149627081185E-5</v>
      </c>
      <c r="M126">
        <f t="shared" si="20"/>
        <v>6.1091233549632182E-7</v>
      </c>
      <c r="O126" s="2">
        <v>1426.1</v>
      </c>
      <c r="P126" s="3">
        <f t="shared" si="21"/>
        <v>1.7114986368230958E-2</v>
      </c>
      <c r="Q126">
        <f t="shared" si="22"/>
        <v>6.929144278636016E-5</v>
      </c>
      <c r="R126">
        <f t="shared" si="23"/>
        <v>1.3144791551746787E-6</v>
      </c>
    </row>
    <row r="127" spans="1:18" x14ac:dyDescent="0.25">
      <c r="A127" s="1">
        <v>45800</v>
      </c>
      <c r="B127" s="2">
        <v>3012.7</v>
      </c>
      <c r="C127" s="3">
        <f t="shared" si="12"/>
        <v>2.1288627216178146E-3</v>
      </c>
      <c r="D127" s="3">
        <f t="shared" si="13"/>
        <v>2.1265999042899648E-3</v>
      </c>
      <c r="E127" s="7">
        <f t="shared" si="14"/>
        <v>1.0021265999042899</v>
      </c>
      <c r="F127">
        <f t="shared" si="15"/>
        <v>4.048582995951417E-3</v>
      </c>
      <c r="G127" s="9">
        <f t="shared" si="16"/>
        <v>8.6097162117002628E-6</v>
      </c>
      <c r="H127" s="13">
        <f t="shared" si="17"/>
        <v>6.6819176008561494E-9</v>
      </c>
      <c r="J127">
        <v>247.36</v>
      </c>
      <c r="K127" s="3">
        <f t="shared" si="18"/>
        <v>5.7571616547559146E-3</v>
      </c>
      <c r="L127">
        <f t="shared" si="19"/>
        <v>2.3308346780388318E-5</v>
      </c>
      <c r="M127">
        <f t="shared" si="20"/>
        <v>1.692372848719847E-7</v>
      </c>
      <c r="O127" s="2">
        <v>1401.9</v>
      </c>
      <c r="P127" s="3">
        <f t="shared" si="21"/>
        <v>5.2208235875799121E-3</v>
      </c>
      <c r="Q127">
        <f t="shared" si="22"/>
        <v>2.1136937601538105E-5</v>
      </c>
      <c r="R127">
        <f t="shared" si="23"/>
        <v>1.5186602602852461E-7</v>
      </c>
    </row>
    <row r="128" spans="1:18" x14ac:dyDescent="0.25">
      <c r="A128" s="1">
        <v>45799</v>
      </c>
      <c r="B128" s="2">
        <v>3006.3</v>
      </c>
      <c r="C128" s="3">
        <f t="shared" si="12"/>
        <v>-2.7307729640534392E-2</v>
      </c>
      <c r="D128" s="3">
        <f t="shared" si="13"/>
        <v>-2.7687515720545917E-2</v>
      </c>
      <c r="E128" s="7">
        <f t="shared" si="14"/>
        <v>0.97231248427945405</v>
      </c>
      <c r="F128">
        <f t="shared" si="15"/>
        <v>4.048582995951417E-3</v>
      </c>
      <c r="G128" s="9">
        <f t="shared" si="16"/>
        <v>-1.1209520534633975E-4</v>
      </c>
      <c r="H128" s="13">
        <f t="shared" si="17"/>
        <v>3.2952551006719785E-6</v>
      </c>
      <c r="J128">
        <v>245.94</v>
      </c>
      <c r="K128" s="3">
        <f t="shared" si="18"/>
        <v>-2.0046559484241257E-2</v>
      </c>
      <c r="L128">
        <f t="shared" si="19"/>
        <v>-8.1160159855227758E-5</v>
      </c>
      <c r="M128">
        <f t="shared" si="20"/>
        <v>1.5140487035043863E-6</v>
      </c>
      <c r="O128" s="2">
        <v>1394.6</v>
      </c>
      <c r="P128" s="3">
        <f t="shared" si="21"/>
        <v>-2.9355979983479901E-3</v>
      </c>
      <c r="Q128">
        <f t="shared" si="22"/>
        <v>-1.1885012139060689E-5</v>
      </c>
      <c r="R128">
        <f t="shared" si="23"/>
        <v>1.6713514810800144E-8</v>
      </c>
    </row>
    <row r="129" spans="1:18" x14ac:dyDescent="0.25">
      <c r="A129" s="1">
        <v>45798</v>
      </c>
      <c r="B129" s="2">
        <v>3090.7</v>
      </c>
      <c r="C129" s="3">
        <f t="shared" si="12"/>
        <v>8.8787334747836844E-3</v>
      </c>
      <c r="D129" s="3">
        <f t="shared" si="13"/>
        <v>8.8395492872296311E-3</v>
      </c>
      <c r="E129" s="7">
        <f t="shared" si="14"/>
        <v>1.0088395492872295</v>
      </c>
      <c r="F129">
        <f t="shared" si="15"/>
        <v>4.048582995951417E-3</v>
      </c>
      <c r="G129" s="9">
        <f t="shared" si="16"/>
        <v>3.5787648936152354E-5</v>
      </c>
      <c r="H129" s="13">
        <f t="shared" si="17"/>
        <v>2.5895655218929177E-7</v>
      </c>
      <c r="J129">
        <v>250.92</v>
      </c>
      <c r="K129" s="3">
        <f t="shared" si="18"/>
        <v>4.8339186870477342E-3</v>
      </c>
      <c r="L129">
        <f t="shared" si="19"/>
        <v>1.9570521000193255E-5</v>
      </c>
      <c r="M129">
        <f t="shared" si="20"/>
        <v>1.2435500595905988E-7</v>
      </c>
      <c r="O129" s="2">
        <v>1398.7</v>
      </c>
      <c r="P129" s="3">
        <f t="shared" si="21"/>
        <v>5.9517582741306337E-3</v>
      </c>
      <c r="Q129">
        <f t="shared" si="22"/>
        <v>2.4096187344658437E-5</v>
      </c>
      <c r="R129">
        <f t="shared" si="23"/>
        <v>1.9027757481616447E-7</v>
      </c>
    </row>
    <row r="130" spans="1:18" x14ac:dyDescent="0.25">
      <c r="A130" s="1">
        <v>45797</v>
      </c>
      <c r="B130" s="2">
        <v>3063.5</v>
      </c>
      <c r="C130" s="3">
        <f t="shared" si="12"/>
        <v>-2.0620204603580564E-2</v>
      </c>
      <c r="D130" s="3">
        <f t="shared" si="13"/>
        <v>-2.0835769499492486E-2</v>
      </c>
      <c r="E130" s="7">
        <f t="shared" si="14"/>
        <v>0.97916423050050749</v>
      </c>
      <c r="F130">
        <f t="shared" si="15"/>
        <v>4.048582995951417E-3</v>
      </c>
      <c r="G130" s="9">
        <f t="shared" si="16"/>
        <v>-8.4355342103208447E-5</v>
      </c>
      <c r="H130" s="13">
        <f t="shared" si="17"/>
        <v>1.9025169867342236E-6</v>
      </c>
      <c r="J130">
        <v>249.71</v>
      </c>
      <c r="K130" s="3">
        <f t="shared" si="18"/>
        <v>-8.1362870571769184E-3</v>
      </c>
      <c r="L130">
        <f t="shared" si="19"/>
        <v>-3.2940433429866067E-5</v>
      </c>
      <c r="M130">
        <f t="shared" si="20"/>
        <v>2.2338325452867157E-7</v>
      </c>
      <c r="O130" s="2">
        <v>1390.4</v>
      </c>
      <c r="P130" s="3">
        <f t="shared" si="21"/>
        <v>-2.4088989429412851E-2</v>
      </c>
      <c r="Q130">
        <f t="shared" si="22"/>
        <v>-9.7526272993574294E-5</v>
      </c>
      <c r="R130">
        <f t="shared" si="23"/>
        <v>2.1763295905395945E-6</v>
      </c>
    </row>
    <row r="131" spans="1:18" x14ac:dyDescent="0.25">
      <c r="A131" s="1">
        <v>45796</v>
      </c>
      <c r="B131" s="2">
        <v>3128</v>
      </c>
      <c r="C131" s="3">
        <f t="shared" ref="C131:C194" si="24">(B131-B132)/B132</f>
        <v>-2.4237785431814995E-3</v>
      </c>
      <c r="D131" s="3">
        <f t="shared" ref="D131:D194" si="25">LN(B131/B132)</f>
        <v>-2.4267206493654284E-3</v>
      </c>
      <c r="E131" s="7">
        <f t="shared" ref="E131:E194" si="26">D131+1</f>
        <v>0.99757327935063456</v>
      </c>
      <c r="F131">
        <f t="shared" ref="F131:F194" si="27">1/247</f>
        <v>4.048582995951417E-3</v>
      </c>
      <c r="G131" s="9">
        <f t="shared" ref="G131:G194" si="28">D131*F131</f>
        <v>-9.8247799569450542E-6</v>
      </c>
      <c r="H131" s="13">
        <f t="shared" ref="H131:H194" si="29">(D131-$G$254)^2*F131</f>
        <v>4.3254786783068808E-8</v>
      </c>
      <c r="J131">
        <v>251.75</v>
      </c>
      <c r="K131" s="3">
        <f t="shared" ref="K131:K194" si="30">LN(J131/J132)</f>
        <v>-1.0117463689752231E-2</v>
      </c>
      <c r="L131">
        <f t="shared" ref="L131:L194" si="31">K131*F131</f>
        <v>-4.096139145648677E-5</v>
      </c>
      <c r="M131">
        <f t="shared" ref="M131:M194" si="32">(K131-$L$254)^2*F131</f>
        <v>3.5843405975947994E-7</v>
      </c>
      <c r="O131" s="2">
        <v>1424.3</v>
      </c>
      <c r="P131" s="3">
        <f t="shared" ref="P131:P194" si="33">LN(O131/O132)</f>
        <v>-1.2905205088843477E-2</v>
      </c>
      <c r="Q131">
        <f t="shared" ref="Q131:Q194" si="34">P131*F131</f>
        <v>-5.2247793881957395E-5</v>
      </c>
      <c r="R131">
        <f t="shared" ref="R131:R194" si="35">(P131-$Q$254)^2*F131</f>
        <v>5.8313332450209376E-7</v>
      </c>
    </row>
    <row r="132" spans="1:18" x14ac:dyDescent="0.25">
      <c r="A132" s="1">
        <v>45793</v>
      </c>
      <c r="B132" s="2">
        <v>3135.6</v>
      </c>
      <c r="C132" s="3">
        <f t="shared" si="24"/>
        <v>-2.7669115542410944E-3</v>
      </c>
      <c r="D132" s="3">
        <f t="shared" si="25"/>
        <v>-2.7707465296743683E-3</v>
      </c>
      <c r="E132" s="7">
        <f t="shared" si="26"/>
        <v>0.99722925347032565</v>
      </c>
      <c r="F132">
        <f t="shared" si="27"/>
        <v>4.048582995951417E-3</v>
      </c>
      <c r="G132" s="9">
        <f t="shared" si="28"/>
        <v>-1.1217597286131046E-5</v>
      </c>
      <c r="H132" s="13">
        <f t="shared" si="29"/>
        <v>5.2839156853238355E-8</v>
      </c>
      <c r="J132">
        <v>254.31</v>
      </c>
      <c r="K132" s="3">
        <f t="shared" si="30"/>
        <v>-8.8475365741761593E-3</v>
      </c>
      <c r="L132">
        <f t="shared" si="31"/>
        <v>-3.5819986130267854E-5</v>
      </c>
      <c r="M132">
        <f t="shared" si="32"/>
        <v>2.6821015593954384E-7</v>
      </c>
      <c r="O132" s="2">
        <v>1442.8</v>
      </c>
      <c r="P132" s="3">
        <f t="shared" si="33"/>
        <v>7.0248941300573567E-3</v>
      </c>
      <c r="Q132">
        <f t="shared" si="34"/>
        <v>2.8440866923309136E-5</v>
      </c>
      <c r="R132">
        <f t="shared" si="35"/>
        <v>2.5451033936886488E-7</v>
      </c>
    </row>
    <row r="133" spans="1:18" x14ac:dyDescent="0.25">
      <c r="A133" s="1">
        <v>45792</v>
      </c>
      <c r="B133" s="2">
        <v>3144.3</v>
      </c>
      <c r="C133" s="3">
        <f t="shared" si="24"/>
        <v>1.3701721581017474E-2</v>
      </c>
      <c r="D133" s="3">
        <f t="shared" si="25"/>
        <v>1.360870171888897E-2</v>
      </c>
      <c r="E133" s="7">
        <f t="shared" si="26"/>
        <v>1.0136087017188891</v>
      </c>
      <c r="F133">
        <f t="shared" si="27"/>
        <v>4.048582995951417E-3</v>
      </c>
      <c r="G133" s="9">
        <f t="shared" si="28"/>
        <v>5.5095958376068704E-5</v>
      </c>
      <c r="H133" s="13">
        <f t="shared" si="29"/>
        <v>6.5988269401999393E-7</v>
      </c>
      <c r="J133">
        <v>256.57</v>
      </c>
      <c r="K133" s="3">
        <f t="shared" si="30"/>
        <v>1.4249225410769813E-2</v>
      </c>
      <c r="L133">
        <f t="shared" si="31"/>
        <v>5.7689171703521514E-5</v>
      </c>
      <c r="M133">
        <f t="shared" si="32"/>
        <v>9.0577414144448073E-7</v>
      </c>
      <c r="O133" s="2">
        <v>1432.7</v>
      </c>
      <c r="P133" s="3">
        <f t="shared" si="33"/>
        <v>-1.1933812619821458E-2</v>
      </c>
      <c r="Q133">
        <f t="shared" si="34"/>
        <v>-4.8315030849479588E-5</v>
      </c>
      <c r="R133">
        <f t="shared" si="35"/>
        <v>4.9255614850479629E-7</v>
      </c>
    </row>
    <row r="134" spans="1:18" x14ac:dyDescent="0.25">
      <c r="A134" s="1">
        <v>45791</v>
      </c>
      <c r="B134" s="2">
        <v>3101.8</v>
      </c>
      <c r="C134" s="3">
        <f t="shared" si="24"/>
        <v>1.5718121684458707E-2</v>
      </c>
      <c r="D134" s="3">
        <f t="shared" si="25"/>
        <v>1.5595871375941124E-2</v>
      </c>
      <c r="E134" s="7">
        <f t="shared" si="26"/>
        <v>1.0155958713759412</v>
      </c>
      <c r="F134">
        <f t="shared" si="27"/>
        <v>4.048582995951417E-3</v>
      </c>
      <c r="G134" s="9">
        <f t="shared" si="28"/>
        <v>6.3141179659680671E-5</v>
      </c>
      <c r="H134" s="13">
        <f t="shared" si="29"/>
        <v>8.8129327698526713E-7</v>
      </c>
      <c r="J134">
        <v>252.94</v>
      </c>
      <c r="K134" s="3">
        <f t="shared" si="30"/>
        <v>5.4310256187700481E-3</v>
      </c>
      <c r="L134">
        <f t="shared" si="31"/>
        <v>2.1987957970728939E-5</v>
      </c>
      <c r="M134">
        <f t="shared" si="32"/>
        <v>1.5259418428744963E-7</v>
      </c>
      <c r="O134" s="2">
        <v>1449.9</v>
      </c>
      <c r="P134" s="3">
        <f t="shared" si="33"/>
        <v>1.6060414034411673E-2</v>
      </c>
      <c r="Q134">
        <f t="shared" si="34"/>
        <v>6.5021919167658598E-5</v>
      </c>
      <c r="R134">
        <f t="shared" si="35"/>
        <v>1.1651184823593696E-6</v>
      </c>
    </row>
    <row r="135" spans="1:18" x14ac:dyDescent="0.25">
      <c r="A135" s="1">
        <v>45790</v>
      </c>
      <c r="B135" s="2">
        <v>3053.8</v>
      </c>
      <c r="C135" s="3">
        <f t="shared" si="24"/>
        <v>-1.6394498663316791E-2</v>
      </c>
      <c r="D135" s="3">
        <f t="shared" si="25"/>
        <v>-1.6530375592825632E-2</v>
      </c>
      <c r="E135" s="7">
        <f t="shared" si="26"/>
        <v>0.98346962440717434</v>
      </c>
      <c r="F135">
        <f t="shared" si="27"/>
        <v>4.048582995951417E-3</v>
      </c>
      <c r="G135" s="9">
        <f t="shared" si="28"/>
        <v>-6.6924597541804175E-5</v>
      </c>
      <c r="H135" s="13">
        <f t="shared" si="29"/>
        <v>1.2218470946648936E-6</v>
      </c>
      <c r="J135">
        <v>251.57</v>
      </c>
      <c r="K135" s="3">
        <f t="shared" si="30"/>
        <v>-2.2443705157541211E-2</v>
      </c>
      <c r="L135">
        <f t="shared" si="31"/>
        <v>-9.0865203066968465E-5</v>
      </c>
      <c r="M135">
        <f t="shared" si="32"/>
        <v>1.9126712719090205E-6</v>
      </c>
      <c r="O135" s="2">
        <v>1426.8</v>
      </c>
      <c r="P135" s="3">
        <f t="shared" si="33"/>
        <v>-2.6557577419922956E-2</v>
      </c>
      <c r="Q135">
        <f t="shared" si="34"/>
        <v>-1.0752055635596339E-4</v>
      </c>
      <c r="R135">
        <f t="shared" si="35"/>
        <v>2.6644402367772147E-6</v>
      </c>
    </row>
    <row r="136" spans="1:18" x14ac:dyDescent="0.25">
      <c r="A136" s="1">
        <v>45789</v>
      </c>
      <c r="B136" s="2">
        <v>3104.7</v>
      </c>
      <c r="C136" s="3">
        <f t="shared" si="24"/>
        <v>4.1111968076187895E-2</v>
      </c>
      <c r="D136" s="3">
        <f t="shared" si="25"/>
        <v>4.0289342039246737E-2</v>
      </c>
      <c r="E136" s="7">
        <f t="shared" si="26"/>
        <v>1.0402893420392467</v>
      </c>
      <c r="F136">
        <f t="shared" si="27"/>
        <v>4.048582995951417E-3</v>
      </c>
      <c r="G136" s="9">
        <f t="shared" si="28"/>
        <v>1.6311474509816493E-4</v>
      </c>
      <c r="H136" s="13">
        <f t="shared" si="29"/>
        <v>6.3000002562251311E-6</v>
      </c>
      <c r="J136">
        <v>257.27999999999997</v>
      </c>
      <c r="K136" s="3">
        <f t="shared" si="30"/>
        <v>6.1185938373608841E-2</v>
      </c>
      <c r="L136">
        <f t="shared" si="31"/>
        <v>2.4771634969072406E-4</v>
      </c>
      <c r="M136">
        <f t="shared" si="32"/>
        <v>1.5509680741517684E-5</v>
      </c>
      <c r="O136" s="2">
        <v>1465.2</v>
      </c>
      <c r="P136" s="3">
        <f t="shared" si="33"/>
        <v>6.5940905420297929E-2</v>
      </c>
      <c r="Q136">
        <f t="shared" si="34"/>
        <v>2.6696722842225882E-4</v>
      </c>
      <c r="R136">
        <f t="shared" si="35"/>
        <v>1.8089933156021492E-5</v>
      </c>
    </row>
    <row r="137" spans="1:18" x14ac:dyDescent="0.25">
      <c r="A137" s="1">
        <v>45786</v>
      </c>
      <c r="B137" s="2">
        <v>2982.1</v>
      </c>
      <c r="C137" s="3">
        <f t="shared" si="24"/>
        <v>-1.6814480234743332E-2</v>
      </c>
      <c r="D137" s="3">
        <f t="shared" si="25"/>
        <v>-1.695744849818661E-2</v>
      </c>
      <c r="E137" s="7">
        <f t="shared" si="26"/>
        <v>0.98304255150181341</v>
      </c>
      <c r="F137">
        <f t="shared" si="27"/>
        <v>4.048582995951417E-3</v>
      </c>
      <c r="G137" s="9">
        <f t="shared" si="28"/>
        <v>-6.8653637644480208E-5</v>
      </c>
      <c r="H137" s="13">
        <f t="shared" si="29"/>
        <v>1.2826602703766932E-6</v>
      </c>
      <c r="J137">
        <v>242.01</v>
      </c>
      <c r="K137" s="3">
        <f t="shared" si="30"/>
        <v>1.819761451767338E-3</v>
      </c>
      <c r="L137">
        <f t="shared" si="31"/>
        <v>7.367455270313109E-6</v>
      </c>
      <c r="M137">
        <f t="shared" si="32"/>
        <v>2.5873951199625507E-8</v>
      </c>
      <c r="O137" s="2">
        <v>1371.7</v>
      </c>
      <c r="P137" s="3">
        <f t="shared" si="33"/>
        <v>-3.4606025110945092E-2</v>
      </c>
      <c r="Q137">
        <f t="shared" si="34"/>
        <v>-1.4010536482164006E-4</v>
      </c>
      <c r="R137">
        <f t="shared" si="35"/>
        <v>4.5985447726792386E-6</v>
      </c>
    </row>
    <row r="138" spans="1:18" x14ac:dyDescent="0.25">
      <c r="A138" s="1">
        <v>45785</v>
      </c>
      <c r="B138" s="2">
        <v>3033.1</v>
      </c>
      <c r="C138" s="3">
        <f t="shared" si="24"/>
        <v>-2.7821404532196604E-2</v>
      </c>
      <c r="D138" s="3">
        <f t="shared" si="25"/>
        <v>-2.8215751206646485E-2</v>
      </c>
      <c r="E138" s="7">
        <f t="shared" si="26"/>
        <v>0.97178424879335357</v>
      </c>
      <c r="F138">
        <f t="shared" si="27"/>
        <v>4.048582995951417E-3</v>
      </c>
      <c r="G138" s="9">
        <f t="shared" si="28"/>
        <v>-1.1423381055322464E-4</v>
      </c>
      <c r="H138" s="13">
        <f t="shared" si="29"/>
        <v>3.4184111354726563E-6</v>
      </c>
      <c r="J138">
        <v>241.57</v>
      </c>
      <c r="K138" s="3">
        <f t="shared" si="30"/>
        <v>-1.0172860118426379E-2</v>
      </c>
      <c r="L138">
        <f t="shared" si="31"/>
        <v>-4.1185668495653357E-5</v>
      </c>
      <c r="M138">
        <f t="shared" si="32"/>
        <v>3.6266702294764479E-7</v>
      </c>
      <c r="O138" s="2">
        <v>1420</v>
      </c>
      <c r="P138" s="3">
        <f t="shared" si="33"/>
        <v>-5.6074101616228729E-2</v>
      </c>
      <c r="Q138">
        <f t="shared" si="34"/>
        <v>-2.2702065431671551E-4</v>
      </c>
      <c r="R138">
        <f t="shared" si="35"/>
        <v>1.2322927660772561E-5</v>
      </c>
    </row>
    <row r="139" spans="1:18" x14ac:dyDescent="0.25">
      <c r="A139" s="1">
        <v>45784</v>
      </c>
      <c r="B139" s="2">
        <v>3119.9</v>
      </c>
      <c r="C139" s="3">
        <f t="shared" si="24"/>
        <v>1.6783991656889582E-2</v>
      </c>
      <c r="D139" s="3">
        <f t="shared" si="25"/>
        <v>1.6644696922682098E-2</v>
      </c>
      <c r="E139" s="7">
        <f t="shared" si="26"/>
        <v>1.0166446969226821</v>
      </c>
      <c r="F139">
        <f t="shared" si="27"/>
        <v>4.048582995951417E-3</v>
      </c>
      <c r="G139" s="9">
        <f t="shared" si="28"/>
        <v>6.7387436933935617E-5</v>
      </c>
      <c r="H139" s="13">
        <f t="shared" si="29"/>
        <v>1.0110451098957214E-6</v>
      </c>
      <c r="J139">
        <v>244.04</v>
      </c>
      <c r="K139" s="3">
        <f t="shared" si="30"/>
        <v>1.1747141659902307E-2</v>
      </c>
      <c r="L139">
        <f t="shared" si="31"/>
        <v>4.7559277975312985E-5</v>
      </c>
      <c r="M139">
        <f t="shared" si="32"/>
        <v>6.280846148792265E-7</v>
      </c>
      <c r="O139" s="2">
        <v>1501.9</v>
      </c>
      <c r="P139" s="3">
        <f t="shared" si="33"/>
        <v>2.6720434593701652E-2</v>
      </c>
      <c r="Q139">
        <f t="shared" si="34"/>
        <v>1.0817989714049252E-4</v>
      </c>
      <c r="R139">
        <f t="shared" si="35"/>
        <v>3.0894650215430119E-6</v>
      </c>
    </row>
    <row r="140" spans="1:18" x14ac:dyDescent="0.25">
      <c r="A140" s="1">
        <v>45783</v>
      </c>
      <c r="B140" s="2">
        <v>3068.4</v>
      </c>
      <c r="C140" s="3">
        <f t="shared" si="24"/>
        <v>1.5522091676319738E-2</v>
      </c>
      <c r="D140" s="3">
        <f t="shared" si="25"/>
        <v>1.5402856283528006E-2</v>
      </c>
      <c r="E140" s="7">
        <f t="shared" si="26"/>
        <v>1.015402856283528</v>
      </c>
      <c r="F140">
        <f t="shared" si="27"/>
        <v>4.048582995951417E-3</v>
      </c>
      <c r="G140" s="9">
        <f t="shared" si="28"/>
        <v>6.2359742038574931E-5</v>
      </c>
      <c r="H140" s="13">
        <f t="shared" si="29"/>
        <v>8.5838550193712447E-7</v>
      </c>
      <c r="J140">
        <v>241.19</v>
      </c>
      <c r="K140" s="3">
        <f t="shared" si="30"/>
        <v>-9.8193709187153547E-3</v>
      </c>
      <c r="L140">
        <f t="shared" si="31"/>
        <v>-3.9754538132450831E-5</v>
      </c>
      <c r="M140">
        <f t="shared" si="32"/>
        <v>3.3608274385437807E-7</v>
      </c>
      <c r="O140" s="2">
        <v>1462.3</v>
      </c>
      <c r="P140" s="3">
        <f t="shared" si="33"/>
        <v>-1.0611622602693632E-2</v>
      </c>
      <c r="Q140">
        <f t="shared" si="34"/>
        <v>-4.2962034828719159E-5</v>
      </c>
      <c r="R140">
        <f t="shared" si="35"/>
        <v>3.8154650673085629E-7</v>
      </c>
    </row>
    <row r="141" spans="1:18" x14ac:dyDescent="0.25">
      <c r="A141" s="1">
        <v>45782</v>
      </c>
      <c r="B141" s="2">
        <v>3021.5</v>
      </c>
      <c r="C141" s="3">
        <f t="shared" si="24"/>
        <v>3.2567835417948256E-2</v>
      </c>
      <c r="D141" s="3">
        <f t="shared" si="25"/>
        <v>3.2048743857551271E-2</v>
      </c>
      <c r="E141" s="7">
        <f t="shared" si="26"/>
        <v>1.0320487438575512</v>
      </c>
      <c r="F141">
        <f t="shared" si="27"/>
        <v>4.048582995951417E-3</v>
      </c>
      <c r="G141" s="9">
        <f t="shared" si="28"/>
        <v>1.297519994232845E-4</v>
      </c>
      <c r="H141" s="13">
        <f t="shared" si="29"/>
        <v>3.9427798095048034E-6</v>
      </c>
      <c r="J141">
        <v>243.57</v>
      </c>
      <c r="K141" s="3">
        <f t="shared" si="30"/>
        <v>2.878054778334692E-3</v>
      </c>
      <c r="L141">
        <f t="shared" si="31"/>
        <v>1.1652043636982558E-5</v>
      </c>
      <c r="M141">
        <f t="shared" si="32"/>
        <v>5.2071320143539963E-8</v>
      </c>
      <c r="O141" s="2">
        <v>1477.9</v>
      </c>
      <c r="P141" s="3">
        <f t="shared" si="33"/>
        <v>-8.4223790668517713E-3</v>
      </c>
      <c r="Q141">
        <f t="shared" si="34"/>
        <v>-3.4098700675513247E-5</v>
      </c>
      <c r="R141">
        <f t="shared" si="35"/>
        <v>2.2886299956816995E-7</v>
      </c>
    </row>
    <row r="142" spans="1:18" x14ac:dyDescent="0.25">
      <c r="A142" s="1">
        <v>45779</v>
      </c>
      <c r="B142" s="2">
        <v>2926.2</v>
      </c>
      <c r="C142" s="3">
        <f t="shared" si="24"/>
        <v>-8.877355913686027E-4</v>
      </c>
      <c r="D142" s="3">
        <f t="shared" si="25"/>
        <v>-8.8812986196462097E-4</v>
      </c>
      <c r="E142" s="7">
        <f t="shared" si="26"/>
        <v>0.99911187013803537</v>
      </c>
      <c r="F142">
        <f t="shared" si="27"/>
        <v>4.048582995951417E-3</v>
      </c>
      <c r="G142" s="9">
        <f t="shared" si="28"/>
        <v>-3.5956674573466437E-6</v>
      </c>
      <c r="H142" s="13">
        <f t="shared" si="29"/>
        <v>1.2117532474107182E-8</v>
      </c>
      <c r="J142">
        <v>242.87</v>
      </c>
      <c r="K142" s="3">
        <f t="shared" si="30"/>
        <v>5.656847671502774E-3</v>
      </c>
      <c r="L142">
        <f t="shared" si="31"/>
        <v>2.2902217293533497E-5</v>
      </c>
      <c r="M142">
        <f t="shared" si="32"/>
        <v>1.6402643284019016E-7</v>
      </c>
      <c r="O142" s="2">
        <v>1490.4</v>
      </c>
      <c r="P142" s="3">
        <f t="shared" si="33"/>
        <v>-3.21532896985295E-2</v>
      </c>
      <c r="Q142">
        <f t="shared" si="34"/>
        <v>-1.3017526193736639E-4</v>
      </c>
      <c r="R142">
        <f t="shared" si="35"/>
        <v>3.9535673907993511E-6</v>
      </c>
    </row>
    <row r="143" spans="1:18" x14ac:dyDescent="0.25">
      <c r="A143" s="1">
        <v>45777</v>
      </c>
      <c r="B143" s="2">
        <v>2928.8</v>
      </c>
      <c r="C143" s="3">
        <f t="shared" si="24"/>
        <v>6.5988452020897285E-3</v>
      </c>
      <c r="D143" s="3">
        <f t="shared" si="25"/>
        <v>6.5771681332472895E-3</v>
      </c>
      <c r="E143" s="7">
        <f t="shared" si="26"/>
        <v>1.0065771681332474</v>
      </c>
      <c r="F143">
        <f t="shared" si="27"/>
        <v>4.048582995951417E-3</v>
      </c>
      <c r="G143" s="9">
        <f t="shared" si="28"/>
        <v>2.6628211065778499E-5</v>
      </c>
      <c r="H143" s="13">
        <f t="shared" si="29"/>
        <v>1.3317089229273739E-7</v>
      </c>
      <c r="J143">
        <v>241.5</v>
      </c>
      <c r="K143" s="3">
        <f t="shared" si="30"/>
        <v>4.1416442919630259E-4</v>
      </c>
      <c r="L143">
        <f t="shared" si="31"/>
        <v>1.6767790655720752E-6</v>
      </c>
      <c r="M143">
        <f t="shared" si="32"/>
        <v>5.1005053729036981E-9</v>
      </c>
      <c r="O143" s="2">
        <v>1539.1</v>
      </c>
      <c r="P143" s="3">
        <f t="shared" si="33"/>
        <v>-1.0020447810210973E-2</v>
      </c>
      <c r="Q143">
        <f t="shared" si="34"/>
        <v>-4.0568614616238758E-5</v>
      </c>
      <c r="R143">
        <f t="shared" si="35"/>
        <v>3.3649159746464727E-7</v>
      </c>
    </row>
    <row r="144" spans="1:18" x14ac:dyDescent="0.25">
      <c r="A144" s="1">
        <v>45776</v>
      </c>
      <c r="B144" s="2">
        <v>2909.6</v>
      </c>
      <c r="C144" s="3">
        <f t="shared" si="24"/>
        <v>-7.1657681020951347E-3</v>
      </c>
      <c r="D144" s="3">
        <f t="shared" si="25"/>
        <v>-7.1915655311454553E-3</v>
      </c>
      <c r="E144" s="7">
        <f t="shared" si="26"/>
        <v>0.99280843446885458</v>
      </c>
      <c r="F144">
        <f t="shared" si="27"/>
        <v>4.048582995951417E-3</v>
      </c>
      <c r="G144" s="9">
        <f t="shared" si="28"/>
        <v>-2.9115649923665811E-5</v>
      </c>
      <c r="H144" s="13">
        <f t="shared" si="29"/>
        <v>2.6128216491522866E-7</v>
      </c>
      <c r="J144">
        <v>241.4</v>
      </c>
      <c r="K144" s="3">
        <f t="shared" si="30"/>
        <v>3.7352191176152007E-3</v>
      </c>
      <c r="L144">
        <f t="shared" si="31"/>
        <v>1.5122344605729557E-5</v>
      </c>
      <c r="M144">
        <f t="shared" si="32"/>
        <v>7.9937085282391097E-8</v>
      </c>
      <c r="O144" s="2">
        <v>1554.6</v>
      </c>
      <c r="P144" s="3">
        <f t="shared" si="33"/>
        <v>-1.5426150378790775E-3</v>
      </c>
      <c r="Q144">
        <f t="shared" si="34"/>
        <v>-6.2454050116561846E-6</v>
      </c>
      <c r="R144">
        <f t="shared" si="35"/>
        <v>1.6522092039756941E-9</v>
      </c>
    </row>
    <row r="145" spans="1:18" x14ac:dyDescent="0.25">
      <c r="A145" s="1">
        <v>45775</v>
      </c>
      <c r="B145" s="2">
        <v>2930.6</v>
      </c>
      <c r="C145" s="3">
        <f t="shared" si="24"/>
        <v>2.3182738635570174E-2</v>
      </c>
      <c r="D145" s="3">
        <f t="shared" si="25"/>
        <v>2.2918101159322499E-2</v>
      </c>
      <c r="E145" s="7">
        <f t="shared" si="26"/>
        <v>1.0229181011593225</v>
      </c>
      <c r="F145">
        <f t="shared" si="27"/>
        <v>4.048582995951417E-3</v>
      </c>
      <c r="G145" s="9">
        <f t="shared" si="28"/>
        <v>9.2785834653127524E-5</v>
      </c>
      <c r="H145" s="13">
        <f t="shared" si="29"/>
        <v>1.9731105690994479E-6</v>
      </c>
      <c r="J145">
        <v>240.5</v>
      </c>
      <c r="K145" s="3">
        <f t="shared" si="30"/>
        <v>-1.661820075009779E-3</v>
      </c>
      <c r="L145">
        <f t="shared" si="31"/>
        <v>-6.7280164980153001E-6</v>
      </c>
      <c r="M145">
        <f t="shared" si="32"/>
        <v>3.681323148903764E-9</v>
      </c>
      <c r="O145" s="2">
        <v>1557</v>
      </c>
      <c r="P145" s="3">
        <f t="shared" si="33"/>
        <v>1.1887980809164105E-2</v>
      </c>
      <c r="Q145">
        <f t="shared" si="34"/>
        <v>4.812947696017856E-5</v>
      </c>
      <c r="R145">
        <f t="shared" si="35"/>
        <v>6.6246735056264147E-7</v>
      </c>
    </row>
    <row r="146" spans="1:18" x14ac:dyDescent="0.25">
      <c r="A146" s="1">
        <v>45772</v>
      </c>
      <c r="B146" s="2">
        <v>2864.2</v>
      </c>
      <c r="C146" s="3">
        <f t="shared" si="24"/>
        <v>-1.2821396567174561E-2</v>
      </c>
      <c r="D146" s="3">
        <f t="shared" si="25"/>
        <v>-1.2904300060199667E-2</v>
      </c>
      <c r="E146" s="7">
        <f t="shared" si="26"/>
        <v>0.98709569993980029</v>
      </c>
      <c r="F146">
        <f t="shared" si="27"/>
        <v>4.048582995951417E-3</v>
      </c>
      <c r="G146" s="9">
        <f t="shared" si="28"/>
        <v>-5.2244129798379222E-5</v>
      </c>
      <c r="H146" s="13">
        <f t="shared" si="29"/>
        <v>7.6501308582485806E-7</v>
      </c>
      <c r="J146">
        <v>240.9</v>
      </c>
      <c r="K146" s="3">
        <f t="shared" si="30"/>
        <v>-7.6501975506086091E-3</v>
      </c>
      <c r="L146">
        <f t="shared" si="31"/>
        <v>-3.0972459719063192E-5</v>
      </c>
      <c r="M146">
        <f t="shared" si="32"/>
        <v>1.9510352131494139E-7</v>
      </c>
      <c r="O146" s="2">
        <v>1538.6</v>
      </c>
      <c r="P146" s="3">
        <f t="shared" si="33"/>
        <v>-3.9568121527817669E-2</v>
      </c>
      <c r="Q146">
        <f t="shared" si="34"/>
        <v>-1.6019482399926181E-4</v>
      </c>
      <c r="R146">
        <f t="shared" si="35"/>
        <v>6.0523499037827609E-6</v>
      </c>
    </row>
    <row r="147" spans="1:18" x14ac:dyDescent="0.25">
      <c r="A147" s="1">
        <v>45771</v>
      </c>
      <c r="B147" s="2">
        <v>2901.4</v>
      </c>
      <c r="C147" s="3">
        <f t="shared" si="24"/>
        <v>-5.620673109877336E-3</v>
      </c>
      <c r="D147" s="3">
        <f t="shared" si="25"/>
        <v>-5.6365285329933587E-3</v>
      </c>
      <c r="E147" s="7">
        <f t="shared" si="26"/>
        <v>0.99436347146700665</v>
      </c>
      <c r="F147">
        <f t="shared" si="27"/>
        <v>4.048582995951417E-3</v>
      </c>
      <c r="G147" s="9">
        <f t="shared" si="28"/>
        <v>-2.2819953574871896E-5</v>
      </c>
      <c r="H147" s="13">
        <f t="shared" si="29"/>
        <v>1.6991958746707132E-7</v>
      </c>
      <c r="J147">
        <v>242.75</v>
      </c>
      <c r="K147" s="3">
        <f t="shared" si="30"/>
        <v>-3.4954286643075921E-3</v>
      </c>
      <c r="L147">
        <f t="shared" si="31"/>
        <v>-1.4151533053876891E-5</v>
      </c>
      <c r="M147">
        <f t="shared" si="32"/>
        <v>3.1450762735308625E-8</v>
      </c>
      <c r="O147" s="2">
        <v>1600.7</v>
      </c>
      <c r="P147" s="3">
        <f t="shared" si="33"/>
        <v>-5.544667352768178E-3</v>
      </c>
      <c r="Q147">
        <f t="shared" si="34"/>
        <v>-2.2448045962624202E-5</v>
      </c>
      <c r="R147">
        <f t="shared" si="35"/>
        <v>8.7197286838941574E-8</v>
      </c>
    </row>
    <row r="148" spans="1:18" x14ac:dyDescent="0.25">
      <c r="A148" s="1">
        <v>45770</v>
      </c>
      <c r="B148" s="2">
        <v>2917.8</v>
      </c>
      <c r="C148" s="3">
        <f t="shared" si="24"/>
        <v>3.5745979908416554E-2</v>
      </c>
      <c r="D148" s="3">
        <f t="shared" si="25"/>
        <v>3.5121920633945099E-2</v>
      </c>
      <c r="E148" s="7">
        <f t="shared" si="26"/>
        <v>1.035121920633945</v>
      </c>
      <c r="F148">
        <f t="shared" si="27"/>
        <v>4.048582995951417E-3</v>
      </c>
      <c r="G148" s="9">
        <f t="shared" si="28"/>
        <v>1.4219401066374533E-4</v>
      </c>
      <c r="H148" s="13">
        <f t="shared" si="29"/>
        <v>4.7575679180100101E-6</v>
      </c>
      <c r="J148">
        <v>243.6</v>
      </c>
      <c r="K148" s="3">
        <f t="shared" si="30"/>
        <v>3.9565600206191098E-2</v>
      </c>
      <c r="L148">
        <f t="shared" si="31"/>
        <v>1.6018461621939716E-4</v>
      </c>
      <c r="M148">
        <f t="shared" si="32"/>
        <v>6.5667343866753218E-6</v>
      </c>
      <c r="O148" s="2">
        <v>1609.6</v>
      </c>
      <c r="P148" s="3">
        <f t="shared" si="33"/>
        <v>1.2566199554562707E-2</v>
      </c>
      <c r="Q148">
        <f t="shared" si="34"/>
        <v>5.0875301840334848E-5</v>
      </c>
      <c r="R148">
        <f t="shared" si="35"/>
        <v>7.345775531122357E-7</v>
      </c>
    </row>
    <row r="149" spans="1:18" x14ac:dyDescent="0.25">
      <c r="A149" s="1">
        <v>45769</v>
      </c>
      <c r="B149" s="2">
        <v>2817.1</v>
      </c>
      <c r="C149" s="3">
        <f t="shared" si="24"/>
        <v>1.9211287988422542E-2</v>
      </c>
      <c r="D149" s="3">
        <f t="shared" si="25"/>
        <v>1.9029081116289544E-2</v>
      </c>
      <c r="E149" s="7">
        <f t="shared" si="26"/>
        <v>1.0190290811162896</v>
      </c>
      <c r="F149">
        <f t="shared" si="27"/>
        <v>4.048582995951417E-3</v>
      </c>
      <c r="G149" s="9">
        <f t="shared" si="28"/>
        <v>7.7040814235990055E-5</v>
      </c>
      <c r="H149" s="13">
        <f t="shared" si="29"/>
        <v>1.3391630406339718E-6</v>
      </c>
      <c r="J149">
        <v>234.15</v>
      </c>
      <c r="K149" s="3">
        <f t="shared" si="30"/>
        <v>-1.8197709114682544E-2</v>
      </c>
      <c r="L149">
        <f t="shared" si="31"/>
        <v>-7.3674935686973865E-5</v>
      </c>
      <c r="M149">
        <f t="shared" si="32"/>
        <v>1.2383846711230483E-6</v>
      </c>
      <c r="O149" s="2">
        <v>1589.5</v>
      </c>
      <c r="P149" s="3">
        <f t="shared" si="33"/>
        <v>-1.8856070954609619E-3</v>
      </c>
      <c r="Q149">
        <f t="shared" si="34"/>
        <v>-7.634036823728591E-6</v>
      </c>
      <c r="R149">
        <f t="shared" si="35"/>
        <v>3.902680610030518E-9</v>
      </c>
    </row>
    <row r="150" spans="1:18" x14ac:dyDescent="0.25">
      <c r="A150" s="1">
        <v>45768</v>
      </c>
      <c r="B150" s="2">
        <v>2764</v>
      </c>
      <c r="C150" s="3">
        <f t="shared" si="24"/>
        <v>3.1574233037247108E-2</v>
      </c>
      <c r="D150" s="3">
        <f t="shared" si="25"/>
        <v>3.1086017044674959E-2</v>
      </c>
      <c r="E150" s="7">
        <f t="shared" si="26"/>
        <v>1.031086017044675</v>
      </c>
      <c r="F150">
        <f t="shared" si="27"/>
        <v>4.048582995951417E-3</v>
      </c>
      <c r="G150" s="9">
        <f t="shared" si="28"/>
        <v>1.2585432001892697E-4</v>
      </c>
      <c r="H150" s="13">
        <f t="shared" si="29"/>
        <v>3.7032637260935299E-6</v>
      </c>
      <c r="J150">
        <v>238.45</v>
      </c>
      <c r="K150" s="3">
        <f t="shared" si="30"/>
        <v>6.5215335794934284E-3</v>
      </c>
      <c r="L150">
        <f t="shared" si="31"/>
        <v>2.6402969957463272E-5</v>
      </c>
      <c r="M150">
        <f t="shared" si="32"/>
        <v>2.1161878289399234E-7</v>
      </c>
      <c r="O150" s="2">
        <v>1592.5</v>
      </c>
      <c r="P150" s="3">
        <f t="shared" si="33"/>
        <v>9.4235910853157526E-4</v>
      </c>
      <c r="Q150">
        <f t="shared" si="34"/>
        <v>3.8152190628808713E-6</v>
      </c>
      <c r="R150">
        <f t="shared" si="35"/>
        <v>1.3798670463905851E-8</v>
      </c>
    </row>
    <row r="151" spans="1:18" x14ac:dyDescent="0.25">
      <c r="A151" s="1">
        <v>45764</v>
      </c>
      <c r="B151" s="2">
        <v>2679.4</v>
      </c>
      <c r="C151" s="3">
        <f t="shared" si="24"/>
        <v>1.7004478858270774E-2</v>
      </c>
      <c r="D151" s="3">
        <f t="shared" si="25"/>
        <v>1.6861521047158826E-2</v>
      </c>
      <c r="E151" s="7">
        <f t="shared" si="26"/>
        <v>1.0168615210471588</v>
      </c>
      <c r="F151">
        <f t="shared" si="27"/>
        <v>4.048582995951417E-3</v>
      </c>
      <c r="G151" s="9">
        <f t="shared" si="28"/>
        <v>6.8265267397404157E-5</v>
      </c>
      <c r="H151" s="13">
        <f t="shared" si="29"/>
        <v>1.038979784010527E-6</v>
      </c>
      <c r="J151">
        <v>236.9</v>
      </c>
      <c r="K151" s="3">
        <f t="shared" si="30"/>
        <v>-4.4378347869506986E-2</v>
      </c>
      <c r="L151">
        <f t="shared" si="31"/>
        <v>-1.7966942457290277E-4</v>
      </c>
      <c r="M151">
        <f t="shared" si="32"/>
        <v>7.7209596459503789E-6</v>
      </c>
      <c r="O151" s="2">
        <v>1591</v>
      </c>
      <c r="P151" s="3">
        <f t="shared" si="33"/>
        <v>-8.8856100549747873E-3</v>
      </c>
      <c r="Q151">
        <f t="shared" si="34"/>
        <v>-3.5974129777225863E-5</v>
      </c>
      <c r="R151">
        <f t="shared" si="35"/>
        <v>2.5793291276957603E-7</v>
      </c>
    </row>
    <row r="152" spans="1:18" x14ac:dyDescent="0.25">
      <c r="A152" s="1">
        <v>45763</v>
      </c>
      <c r="B152" s="2">
        <v>2634.6</v>
      </c>
      <c r="C152" s="3">
        <f t="shared" si="24"/>
        <v>-4.3083900226757715E-3</v>
      </c>
      <c r="D152" s="3">
        <f t="shared" si="25"/>
        <v>-4.3176978791742964E-3</v>
      </c>
      <c r="E152" s="7">
        <f t="shared" si="26"/>
        <v>0.99568230212082576</v>
      </c>
      <c r="F152">
        <f t="shared" si="27"/>
        <v>4.048582995951417E-3</v>
      </c>
      <c r="G152" s="9">
        <f t="shared" si="28"/>
        <v>-1.7480558215280554E-5</v>
      </c>
      <c r="H152" s="13">
        <f t="shared" si="29"/>
        <v>1.0777947930664965E-7</v>
      </c>
      <c r="J152">
        <v>247.65</v>
      </c>
      <c r="K152" s="3">
        <f t="shared" si="30"/>
        <v>1.4848233741044766E-2</v>
      </c>
      <c r="L152">
        <f t="shared" si="31"/>
        <v>6.0114306643905933E-5</v>
      </c>
      <c r="M152">
        <f t="shared" si="32"/>
        <v>9.797746330204835E-7</v>
      </c>
      <c r="O152" s="2">
        <v>1605.2</v>
      </c>
      <c r="P152" s="3">
        <f t="shared" si="33"/>
        <v>-1.1397546571980874E-2</v>
      </c>
      <c r="Q152">
        <f t="shared" si="34"/>
        <v>-4.6143913246886129E-5</v>
      </c>
      <c r="R152">
        <f t="shared" si="35"/>
        <v>4.4582549859388015E-7</v>
      </c>
    </row>
    <row r="153" spans="1:18" x14ac:dyDescent="0.25">
      <c r="A153" s="1">
        <v>45762</v>
      </c>
      <c r="B153" s="2">
        <v>2646</v>
      </c>
      <c r="C153" s="3">
        <f t="shared" si="24"/>
        <v>2.5442284961342491E-2</v>
      </c>
      <c r="D153" s="3">
        <f t="shared" si="25"/>
        <v>2.51240170453477E-2</v>
      </c>
      <c r="E153" s="7">
        <f t="shared" si="26"/>
        <v>1.0251240170453477</v>
      </c>
      <c r="F153">
        <f t="shared" si="27"/>
        <v>4.048582995951417E-3</v>
      </c>
      <c r="G153" s="9">
        <f t="shared" si="28"/>
        <v>1.0171666819978827E-4</v>
      </c>
      <c r="H153" s="13">
        <f t="shared" si="29"/>
        <v>2.3871288520870932E-6</v>
      </c>
      <c r="J153">
        <v>244</v>
      </c>
      <c r="K153" s="3">
        <f t="shared" si="30"/>
        <v>1.7571511529654353E-2</v>
      </c>
      <c r="L153">
        <f t="shared" si="31"/>
        <v>7.1139722792122891E-5</v>
      </c>
      <c r="M153">
        <f t="shared" si="32"/>
        <v>1.3528334228949758E-6</v>
      </c>
      <c r="O153" s="2">
        <v>1623.6</v>
      </c>
      <c r="P153" s="3">
        <f t="shared" si="33"/>
        <v>3.8582828445933089E-2</v>
      </c>
      <c r="Q153">
        <f t="shared" si="34"/>
        <v>1.5620578318191534E-4</v>
      </c>
      <c r="R153">
        <f t="shared" si="35"/>
        <v>6.3125228534947281E-6</v>
      </c>
    </row>
    <row r="154" spans="1:18" x14ac:dyDescent="0.25">
      <c r="A154" s="1">
        <v>45758</v>
      </c>
      <c r="B154" s="2">
        <v>2580.35</v>
      </c>
      <c r="C154" s="3">
        <f t="shared" si="24"/>
        <v>2.269034124687884E-2</v>
      </c>
      <c r="D154" s="3">
        <f t="shared" si="25"/>
        <v>2.2436744419219088E-2</v>
      </c>
      <c r="E154" s="7">
        <f t="shared" si="26"/>
        <v>1.0224367444192191</v>
      </c>
      <c r="F154">
        <f t="shared" si="27"/>
        <v>4.048582995951417E-3</v>
      </c>
      <c r="G154" s="9">
        <f t="shared" si="28"/>
        <v>9.0837021940158252E-5</v>
      </c>
      <c r="H154" s="13">
        <f t="shared" si="29"/>
        <v>1.8880039109245582E-6</v>
      </c>
      <c r="J154">
        <v>239.75</v>
      </c>
      <c r="K154" s="3">
        <f t="shared" si="30"/>
        <v>1.3014457411290578E-2</v>
      </c>
      <c r="L154">
        <f t="shared" si="31"/>
        <v>5.2690110976884934E-5</v>
      </c>
      <c r="M154">
        <f t="shared" si="32"/>
        <v>7.6240011831574011E-7</v>
      </c>
      <c r="O154" s="2">
        <v>1562.15</v>
      </c>
      <c r="P154" s="3">
        <f t="shared" si="33"/>
        <v>2.0207279780774093E-2</v>
      </c>
      <c r="Q154">
        <f t="shared" si="34"/>
        <v>8.1810849314874876E-5</v>
      </c>
      <c r="R154">
        <f t="shared" si="35"/>
        <v>1.8043616409185755E-6</v>
      </c>
    </row>
    <row r="155" spans="1:18" x14ac:dyDescent="0.25">
      <c r="A155" s="1">
        <v>45756</v>
      </c>
      <c r="B155" s="2">
        <v>2523.1</v>
      </c>
      <c r="C155" s="3">
        <f t="shared" si="24"/>
        <v>-2.1793830364756677E-4</v>
      </c>
      <c r="D155" s="3">
        <f t="shared" si="25"/>
        <v>-2.1796205565072208E-4</v>
      </c>
      <c r="E155" s="7">
        <f t="shared" si="26"/>
        <v>0.99978203794434928</v>
      </c>
      <c r="F155">
        <f t="shared" si="27"/>
        <v>4.048582995951417E-3</v>
      </c>
      <c r="G155" s="9">
        <f t="shared" si="28"/>
        <v>-8.8243747227012992E-7</v>
      </c>
      <c r="H155" s="13">
        <f t="shared" si="29"/>
        <v>4.5478714134943201E-9</v>
      </c>
      <c r="J155">
        <v>236.65</v>
      </c>
      <c r="K155" s="3">
        <f t="shared" si="30"/>
        <v>-4.381771415056445E-2</v>
      </c>
      <c r="L155">
        <f t="shared" si="31"/>
        <v>-1.7739965243143504E-4</v>
      </c>
      <c r="M155">
        <f t="shared" si="32"/>
        <v>7.523989835218138E-6</v>
      </c>
      <c r="O155" s="2">
        <v>1530.9</v>
      </c>
      <c r="P155" s="3">
        <f t="shared" si="33"/>
        <v>1.3911723550025011E-2</v>
      </c>
      <c r="Q155">
        <f t="shared" si="34"/>
        <v>5.632276740900814E-5</v>
      </c>
      <c r="R155">
        <f t="shared" si="35"/>
        <v>8.8866187233799244E-7</v>
      </c>
    </row>
    <row r="156" spans="1:18" x14ac:dyDescent="0.25">
      <c r="A156" s="1">
        <v>45755</v>
      </c>
      <c r="B156" s="2">
        <v>2523.65</v>
      </c>
      <c r="C156" s="3">
        <f t="shared" si="24"/>
        <v>1.3005519317611677E-2</v>
      </c>
      <c r="D156" s="3">
        <f t="shared" si="25"/>
        <v>1.2921673738980509E-2</v>
      </c>
      <c r="E156" s="7">
        <f t="shared" si="26"/>
        <v>1.0129216737389806</v>
      </c>
      <c r="F156">
        <f t="shared" si="27"/>
        <v>4.048582995951417E-3</v>
      </c>
      <c r="G156" s="9">
        <f t="shared" si="28"/>
        <v>5.2314468578868457E-5</v>
      </c>
      <c r="H156" s="13">
        <f t="shared" si="29"/>
        <v>5.9077224161629103E-7</v>
      </c>
      <c r="J156">
        <v>247.25</v>
      </c>
      <c r="K156" s="3">
        <f t="shared" si="30"/>
        <v>1.7750134494694727E-2</v>
      </c>
      <c r="L156">
        <f t="shared" si="31"/>
        <v>7.1862892691071763E-5</v>
      </c>
      <c r="M156">
        <f t="shared" si="32"/>
        <v>1.3794013511216435E-6</v>
      </c>
      <c r="O156" s="2">
        <v>1509.75</v>
      </c>
      <c r="P156" s="3">
        <f t="shared" si="33"/>
        <v>8.6813896529092209E-3</v>
      </c>
      <c r="Q156">
        <f t="shared" si="34"/>
        <v>3.5147326529996849E-5</v>
      </c>
      <c r="R156">
        <f t="shared" si="35"/>
        <v>3.7196637781728558E-7</v>
      </c>
    </row>
    <row r="157" spans="1:18" x14ac:dyDescent="0.25">
      <c r="A157" s="1">
        <v>45754</v>
      </c>
      <c r="B157" s="2">
        <v>2491.25</v>
      </c>
      <c r="C157" s="3">
        <f t="shared" si="24"/>
        <v>-4.0553811788719717E-2</v>
      </c>
      <c r="D157" s="3">
        <f t="shared" si="25"/>
        <v>-4.1399048263661926E-2</v>
      </c>
      <c r="E157" s="7">
        <f t="shared" si="26"/>
        <v>0.95860095173633808</v>
      </c>
      <c r="F157">
        <f t="shared" si="27"/>
        <v>4.048582995951417E-3</v>
      </c>
      <c r="G157" s="9">
        <f t="shared" si="28"/>
        <v>-1.6760748284883371E-4</v>
      </c>
      <c r="H157" s="13">
        <f t="shared" si="29"/>
        <v>7.2238800578228641E-6</v>
      </c>
      <c r="J157">
        <v>242.9</v>
      </c>
      <c r="K157" s="3">
        <f t="shared" si="30"/>
        <v>-1.3900469118365464E-2</v>
      </c>
      <c r="L157">
        <f t="shared" si="31"/>
        <v>-5.6277202908362201E-5</v>
      </c>
      <c r="M157">
        <f t="shared" si="32"/>
        <v>7.0459319750942974E-7</v>
      </c>
      <c r="O157" s="2">
        <v>1496.7</v>
      </c>
      <c r="P157" s="3">
        <f t="shared" si="33"/>
        <v>-2.660231037873519E-2</v>
      </c>
      <c r="Q157">
        <f t="shared" si="34"/>
        <v>-1.0770166145236919E-4</v>
      </c>
      <c r="R157">
        <f t="shared" si="35"/>
        <v>2.6737404009340325E-6</v>
      </c>
    </row>
    <row r="158" spans="1:18" x14ac:dyDescent="0.25">
      <c r="A158" s="1">
        <v>45751</v>
      </c>
      <c r="B158" s="2">
        <v>2596.5500000000002</v>
      </c>
      <c r="C158" s="3">
        <f t="shared" si="24"/>
        <v>-5.7056424591700539E-3</v>
      </c>
      <c r="D158" s="3">
        <f t="shared" si="25"/>
        <v>-5.7219818177726709E-3</v>
      </c>
      <c r="E158" s="7">
        <f t="shared" si="26"/>
        <v>0.99427801818222727</v>
      </c>
      <c r="F158">
        <f t="shared" si="27"/>
        <v>4.048582995951417E-3</v>
      </c>
      <c r="G158" s="9">
        <f t="shared" si="28"/>
        <v>-2.3165918290577614E-5</v>
      </c>
      <c r="H158" s="13">
        <f t="shared" si="29"/>
        <v>1.7443177209862188E-7</v>
      </c>
      <c r="J158">
        <v>246.3</v>
      </c>
      <c r="K158" s="3">
        <f t="shared" si="30"/>
        <v>-3.9993393103217423E-2</v>
      </c>
      <c r="L158">
        <f t="shared" si="31"/>
        <v>-1.6191657126808672E-4</v>
      </c>
      <c r="M158">
        <f t="shared" si="32"/>
        <v>6.2482675909580802E-6</v>
      </c>
      <c r="O158" s="2">
        <v>1537.05</v>
      </c>
      <c r="P158" s="3">
        <f t="shared" si="33"/>
        <v>-9.6794268293274727E-3</v>
      </c>
      <c r="Q158">
        <f t="shared" si="34"/>
        <v>-3.9187962871771142E-5</v>
      </c>
      <c r="R158">
        <f t="shared" si="35"/>
        <v>3.1178857345239492E-7</v>
      </c>
    </row>
    <row r="159" spans="1:18" x14ac:dyDescent="0.25">
      <c r="A159" s="1">
        <v>45750</v>
      </c>
      <c r="B159" s="2">
        <v>2611.4499999999998</v>
      </c>
      <c r="C159" s="3">
        <f t="shared" si="24"/>
        <v>-9.8955470038484053E-3</v>
      </c>
      <c r="D159" s="3">
        <f t="shared" si="25"/>
        <v>-9.9448333421663353E-3</v>
      </c>
      <c r="E159" s="7">
        <f t="shared" si="26"/>
        <v>0.99005516665783366</v>
      </c>
      <c r="F159">
        <f t="shared" si="27"/>
        <v>4.048582995951417E-3</v>
      </c>
      <c r="G159" s="9">
        <f t="shared" si="28"/>
        <v>-4.0262483166665323E-5</v>
      </c>
      <c r="H159" s="13">
        <f t="shared" si="29"/>
        <v>4.7106795859519083E-7</v>
      </c>
      <c r="J159">
        <v>256.35000000000002</v>
      </c>
      <c r="K159" s="3">
        <f t="shared" si="30"/>
        <v>-2.788910439864262E-2</v>
      </c>
      <c r="L159">
        <f t="shared" si="31"/>
        <v>-1.1291135384065838E-4</v>
      </c>
      <c r="M159">
        <f t="shared" si="32"/>
        <v>2.9910873979778745E-6</v>
      </c>
      <c r="O159" s="2">
        <v>1552</v>
      </c>
      <c r="P159" s="3">
        <f t="shared" si="33"/>
        <v>2.7633466169473736E-2</v>
      </c>
      <c r="Q159">
        <f t="shared" si="34"/>
        <v>1.118763812529301E-4</v>
      </c>
      <c r="R159">
        <f t="shared" si="35"/>
        <v>3.2970650530738642E-6</v>
      </c>
    </row>
    <row r="160" spans="1:18" x14ac:dyDescent="0.25">
      <c r="A160" s="1">
        <v>45749</v>
      </c>
      <c r="B160" s="2">
        <v>2637.55</v>
      </c>
      <c r="C160" s="3">
        <f t="shared" si="24"/>
        <v>-1.3268129951852194E-4</v>
      </c>
      <c r="D160" s="3">
        <f t="shared" si="25"/>
        <v>-1.3269010246077574E-4</v>
      </c>
      <c r="E160" s="7">
        <f t="shared" si="26"/>
        <v>0.99986730989753925</v>
      </c>
      <c r="F160">
        <f t="shared" si="27"/>
        <v>4.048582995951417E-3</v>
      </c>
      <c r="G160" s="9">
        <f t="shared" si="28"/>
        <v>-5.3720689255374793E-7</v>
      </c>
      <c r="H160" s="13">
        <f t="shared" si="29"/>
        <v>3.8455108881834997E-9</v>
      </c>
      <c r="J160">
        <v>263.60000000000002</v>
      </c>
      <c r="K160" s="3">
        <f t="shared" si="30"/>
        <v>3.8008407596563962E-3</v>
      </c>
      <c r="L160">
        <f t="shared" si="31"/>
        <v>1.5388019269863953E-5</v>
      </c>
      <c r="M160">
        <f t="shared" si="32"/>
        <v>8.2315556147980836E-8</v>
      </c>
      <c r="O160" s="2">
        <v>1509.7</v>
      </c>
      <c r="P160" s="3">
        <f t="shared" si="33"/>
        <v>6.2458674807227164E-3</v>
      </c>
      <c r="Q160">
        <f t="shared" si="34"/>
        <v>2.5286912877419905E-5</v>
      </c>
      <c r="R160">
        <f t="shared" si="35"/>
        <v>2.0695393417243935E-7</v>
      </c>
    </row>
    <row r="161" spans="1:18" x14ac:dyDescent="0.25">
      <c r="A161" s="1">
        <v>45748</v>
      </c>
      <c r="B161" s="2">
        <v>2637.9</v>
      </c>
      <c r="C161" s="3">
        <f t="shared" si="24"/>
        <v>-1.046590141796087E-2</v>
      </c>
      <c r="D161" s="3">
        <f t="shared" si="25"/>
        <v>-1.0521054116851711E-2</v>
      </c>
      <c r="E161" s="7">
        <f t="shared" si="26"/>
        <v>0.98947894588314833</v>
      </c>
      <c r="F161">
        <f t="shared" si="27"/>
        <v>4.048582995951417E-3</v>
      </c>
      <c r="G161" s="9">
        <f t="shared" si="28"/>
        <v>-4.2595360796970487E-5</v>
      </c>
      <c r="H161" s="13">
        <f t="shared" si="29"/>
        <v>5.2274050566169215E-7</v>
      </c>
      <c r="J161">
        <v>262.60000000000002</v>
      </c>
      <c r="K161" s="3">
        <f t="shared" si="30"/>
        <v>1.3337145922893412E-3</v>
      </c>
      <c r="L161">
        <f t="shared" si="31"/>
        <v>5.3996542197949034E-6</v>
      </c>
      <c r="M161">
        <f t="shared" si="32"/>
        <v>1.6881128821896413E-8</v>
      </c>
      <c r="O161" s="2">
        <v>1500.3</v>
      </c>
      <c r="P161" s="3">
        <f t="shared" si="33"/>
        <v>9.0052999644044431E-3</v>
      </c>
      <c r="Q161">
        <f t="shared" si="34"/>
        <v>3.6458704309329732E-5</v>
      </c>
      <c r="R161">
        <f t="shared" si="35"/>
        <v>3.975307334217287E-7</v>
      </c>
    </row>
    <row r="162" spans="1:18" x14ac:dyDescent="0.25">
      <c r="A162" s="1">
        <v>45744</v>
      </c>
      <c r="B162" s="2">
        <v>2665.8</v>
      </c>
      <c r="C162" s="3">
        <f t="shared" si="24"/>
        <v>-2.458836443468709E-2</v>
      </c>
      <c r="D162" s="3">
        <f t="shared" si="25"/>
        <v>-2.4895706758150098E-2</v>
      </c>
      <c r="E162" s="7">
        <f t="shared" si="26"/>
        <v>0.97510429324184988</v>
      </c>
      <c r="F162">
        <f t="shared" si="27"/>
        <v>4.048582995951417E-3</v>
      </c>
      <c r="G162" s="9">
        <f t="shared" si="28"/>
        <v>-1.0079233505323927E-4</v>
      </c>
      <c r="H162" s="13">
        <f t="shared" si="29"/>
        <v>2.6818818067103866E-6</v>
      </c>
      <c r="J162">
        <v>262.25</v>
      </c>
      <c r="K162" s="3">
        <f t="shared" si="30"/>
        <v>-3.7238842940959069E-2</v>
      </c>
      <c r="L162">
        <f t="shared" si="31"/>
        <v>-1.5076454631967234E-4</v>
      </c>
      <c r="M162">
        <f t="shared" si="32"/>
        <v>5.4027687171872028E-6</v>
      </c>
      <c r="O162" s="2">
        <v>1486.85</v>
      </c>
      <c r="P162" s="3">
        <f t="shared" si="33"/>
        <v>-1.0104475693358294E-2</v>
      </c>
      <c r="Q162">
        <f t="shared" si="34"/>
        <v>-4.0908808475134796E-5</v>
      </c>
      <c r="R162">
        <f t="shared" si="35"/>
        <v>3.4272304430091806E-7</v>
      </c>
    </row>
    <row r="163" spans="1:18" x14ac:dyDescent="0.25">
      <c r="A163" s="1">
        <v>45743</v>
      </c>
      <c r="B163" s="2">
        <v>2733</v>
      </c>
      <c r="C163" s="3">
        <f t="shared" si="24"/>
        <v>-3.3731424924788038E-3</v>
      </c>
      <c r="D163" s="3">
        <f t="shared" si="25"/>
        <v>-3.3788443633754736E-3</v>
      </c>
      <c r="E163" s="7">
        <f t="shared" si="26"/>
        <v>0.99662115563662457</v>
      </c>
      <c r="F163">
        <f t="shared" si="27"/>
        <v>4.048582995951417E-3</v>
      </c>
      <c r="G163" s="9">
        <f t="shared" si="28"/>
        <v>-1.3679531835528234E-5</v>
      </c>
      <c r="H163" s="13">
        <f t="shared" si="29"/>
        <v>7.2124491235778502E-8</v>
      </c>
      <c r="J163">
        <v>272.2</v>
      </c>
      <c r="K163" s="3">
        <f t="shared" si="30"/>
        <v>1.7791425549523007E-2</v>
      </c>
      <c r="L163">
        <f t="shared" si="31"/>
        <v>7.2030062953534434E-5</v>
      </c>
      <c r="M163">
        <f t="shared" si="32"/>
        <v>1.3855796413094417E-6</v>
      </c>
      <c r="O163" s="2">
        <v>1501.95</v>
      </c>
      <c r="P163" s="3">
        <f t="shared" si="33"/>
        <v>1.3658246206077651E-3</v>
      </c>
      <c r="Q163">
        <f t="shared" si="34"/>
        <v>5.5296543344443936E-6</v>
      </c>
      <c r="R163">
        <f t="shared" si="35"/>
        <v>2.0854885682234545E-8</v>
      </c>
    </row>
    <row r="164" spans="1:18" x14ac:dyDescent="0.25">
      <c r="A164" s="1">
        <v>45742</v>
      </c>
      <c r="B164" s="2">
        <v>2742.25</v>
      </c>
      <c r="C164" s="3">
        <f t="shared" si="24"/>
        <v>2.2843567251461987E-3</v>
      </c>
      <c r="D164" s="3">
        <f t="shared" si="25"/>
        <v>2.2817515490024987E-3</v>
      </c>
      <c r="E164" s="7">
        <f t="shared" si="26"/>
        <v>1.0022817515490026</v>
      </c>
      <c r="F164">
        <f t="shared" si="27"/>
        <v>4.048582995951417E-3</v>
      </c>
      <c r="G164" s="9">
        <f t="shared" si="28"/>
        <v>9.2378605222773227E-6</v>
      </c>
      <c r="H164" s="13">
        <f t="shared" si="29"/>
        <v>8.3933192200763024E-9</v>
      </c>
      <c r="J164">
        <v>267.39999999999998</v>
      </c>
      <c r="K164" s="3">
        <f t="shared" si="30"/>
        <v>-1.3373156211858139E-2</v>
      </c>
      <c r="L164">
        <f t="shared" si="31"/>
        <v>-5.4142332841530932E-5</v>
      </c>
      <c r="M164">
        <f t="shared" si="32"/>
        <v>6.4939161493415415E-7</v>
      </c>
      <c r="O164" s="2">
        <v>1499.9</v>
      </c>
      <c r="P164" s="3">
        <f t="shared" si="33"/>
        <v>5.2139155549379493E-3</v>
      </c>
      <c r="Q164">
        <f t="shared" si="34"/>
        <v>2.110896985804838E-5</v>
      </c>
      <c r="R164">
        <f t="shared" si="35"/>
        <v>1.5152363591016533E-7</v>
      </c>
    </row>
    <row r="165" spans="1:18" x14ac:dyDescent="0.25">
      <c r="A165" s="1">
        <v>45741</v>
      </c>
      <c r="B165" s="2">
        <v>2736</v>
      </c>
      <c r="C165" s="3">
        <f t="shared" si="24"/>
        <v>-1.394745377878683E-2</v>
      </c>
      <c r="D165" s="3">
        <f t="shared" si="25"/>
        <v>-1.4045633485882891E-2</v>
      </c>
      <c r="E165" s="7">
        <f t="shared" si="26"/>
        <v>0.98595436651411705</v>
      </c>
      <c r="F165">
        <f t="shared" si="27"/>
        <v>4.048582995951417E-3</v>
      </c>
      <c r="G165" s="9">
        <f t="shared" si="28"/>
        <v>-5.6864912898311303E-5</v>
      </c>
      <c r="H165" s="13">
        <f t="shared" si="29"/>
        <v>8.9732343052576292E-7</v>
      </c>
      <c r="J165">
        <v>271</v>
      </c>
      <c r="K165" s="3">
        <f t="shared" si="30"/>
        <v>5.9215569034374799E-3</v>
      </c>
      <c r="L165">
        <f t="shared" si="31"/>
        <v>2.3973914588815708E-5</v>
      </c>
      <c r="M165">
        <f t="shared" si="32"/>
        <v>1.7795304711940776E-7</v>
      </c>
      <c r="O165" s="2">
        <v>1492.1</v>
      </c>
      <c r="P165" s="3">
        <f t="shared" si="33"/>
        <v>-2.5148569081391795E-2</v>
      </c>
      <c r="Q165">
        <f t="shared" si="34"/>
        <v>-1.0181606915543237E-4</v>
      </c>
      <c r="R165">
        <f t="shared" si="35"/>
        <v>2.3797945185228886E-6</v>
      </c>
    </row>
    <row r="166" spans="1:18" x14ac:dyDescent="0.25">
      <c r="A166" s="1">
        <v>45740</v>
      </c>
      <c r="B166" s="2">
        <v>2774.7</v>
      </c>
      <c r="C166" s="3">
        <f t="shared" si="24"/>
        <v>-9.6900262326677349E-3</v>
      </c>
      <c r="D166" s="3">
        <f t="shared" si="25"/>
        <v>-9.7372800450976887E-3</v>
      </c>
      <c r="E166" s="7">
        <f t="shared" si="26"/>
        <v>0.99026271995490234</v>
      </c>
      <c r="F166">
        <f t="shared" si="27"/>
        <v>4.048582995951417E-3</v>
      </c>
      <c r="G166" s="9">
        <f t="shared" si="28"/>
        <v>-3.9422186417399552E-5</v>
      </c>
      <c r="H166" s="13">
        <f t="shared" si="29"/>
        <v>4.5311423782049596E-7</v>
      </c>
      <c r="J166">
        <v>269.39999999999998</v>
      </c>
      <c r="K166" s="3">
        <f t="shared" si="30"/>
        <v>1.9112442366019902E-2</v>
      </c>
      <c r="L166">
        <f t="shared" si="31"/>
        <v>7.7378309174169641E-5</v>
      </c>
      <c r="M166">
        <f t="shared" si="32"/>
        <v>1.5905264550587098E-6</v>
      </c>
      <c r="O166" s="2">
        <v>1530.1</v>
      </c>
      <c r="P166" s="3">
        <f t="shared" si="33"/>
        <v>2.083511882767252E-2</v>
      </c>
      <c r="Q166">
        <f t="shared" si="34"/>
        <v>8.4352707804342191E-5</v>
      </c>
      <c r="R166">
        <f t="shared" si="35"/>
        <v>1.9132802298035722E-6</v>
      </c>
    </row>
    <row r="167" spans="1:18" x14ac:dyDescent="0.25">
      <c r="A167" s="1">
        <v>45737</v>
      </c>
      <c r="B167" s="2">
        <v>2801.85</v>
      </c>
      <c r="C167" s="3">
        <f t="shared" si="24"/>
        <v>-9.2818500053039148E-3</v>
      </c>
      <c r="D167" s="3">
        <f t="shared" si="25"/>
        <v>-9.3251947967925644E-3</v>
      </c>
      <c r="E167" s="7">
        <f t="shared" si="26"/>
        <v>0.99067480520320739</v>
      </c>
      <c r="F167">
        <f t="shared" si="27"/>
        <v>4.048582995951417E-3</v>
      </c>
      <c r="G167" s="9">
        <f t="shared" si="28"/>
        <v>-3.7753825088229004E-5</v>
      </c>
      <c r="H167" s="13">
        <f t="shared" si="29"/>
        <v>4.1850192892167868E-7</v>
      </c>
      <c r="J167">
        <v>264.3</v>
      </c>
      <c r="K167" s="3">
        <f t="shared" si="30"/>
        <v>-1.3902158900613096E-2</v>
      </c>
      <c r="L167">
        <f t="shared" si="31"/>
        <v>-5.6284044132036823E-5</v>
      </c>
      <c r="M167">
        <f t="shared" si="32"/>
        <v>7.0477371084804212E-7</v>
      </c>
      <c r="O167" s="2">
        <v>1498.55</v>
      </c>
      <c r="P167" s="3">
        <f t="shared" si="33"/>
        <v>2.0188407882585281E-2</v>
      </c>
      <c r="Q167">
        <f t="shared" si="34"/>
        <v>8.1734444868766324E-5</v>
      </c>
      <c r="R167">
        <f t="shared" si="35"/>
        <v>1.8011371234188085E-6</v>
      </c>
    </row>
    <row r="168" spans="1:18" x14ac:dyDescent="0.25">
      <c r="A168" s="1">
        <v>45736</v>
      </c>
      <c r="B168" s="2">
        <v>2828.1</v>
      </c>
      <c r="C168" s="3">
        <f t="shared" si="24"/>
        <v>1.3983005270517372E-2</v>
      </c>
      <c r="D168" s="3">
        <f t="shared" si="25"/>
        <v>1.3886144940292467E-2</v>
      </c>
      <c r="E168" s="7">
        <f t="shared" si="26"/>
        <v>1.0138861449402925</v>
      </c>
      <c r="F168">
        <f t="shared" si="27"/>
        <v>4.048582995951417E-3</v>
      </c>
      <c r="G168" s="9">
        <f t="shared" si="28"/>
        <v>5.6219210284584889E-5</v>
      </c>
      <c r="H168" s="13">
        <f t="shared" si="29"/>
        <v>6.8887498378210647E-7</v>
      </c>
      <c r="J168">
        <v>268</v>
      </c>
      <c r="K168" s="3">
        <f t="shared" si="30"/>
        <v>8.6191277450888542E-3</v>
      </c>
      <c r="L168">
        <f t="shared" si="31"/>
        <v>3.4895254028699813E-5</v>
      </c>
      <c r="M168">
        <f t="shared" si="32"/>
        <v>3.5222698105280825E-7</v>
      </c>
      <c r="O168" s="2">
        <v>1468.6</v>
      </c>
      <c r="P168" s="3">
        <f t="shared" si="33"/>
        <v>1.9319290492926855E-2</v>
      </c>
      <c r="Q168">
        <f t="shared" si="34"/>
        <v>7.8215750983509532E-5</v>
      </c>
      <c r="R168">
        <f t="shared" si="35"/>
        <v>1.6557612963610155E-6</v>
      </c>
    </row>
    <row r="169" spans="1:18" x14ac:dyDescent="0.25">
      <c r="A169" s="1">
        <v>45735</v>
      </c>
      <c r="B169" s="2">
        <v>2789.1</v>
      </c>
      <c r="C169" s="3">
        <f t="shared" si="24"/>
        <v>-8.2395930357533206E-4</v>
      </c>
      <c r="D169" s="3">
        <f t="shared" si="25"/>
        <v>-8.2429894462209593E-4</v>
      </c>
      <c r="E169" s="7">
        <f t="shared" si="26"/>
        <v>0.9991757010553779</v>
      </c>
      <c r="F169">
        <f t="shared" si="27"/>
        <v>4.048582995951417E-3</v>
      </c>
      <c r="G169" s="9">
        <f t="shared" si="28"/>
        <v>-3.3372426907777165E-6</v>
      </c>
      <c r="H169" s="13">
        <f t="shared" si="29"/>
        <v>1.1239858774861476E-8</v>
      </c>
      <c r="J169">
        <v>265.7</v>
      </c>
      <c r="K169" s="3">
        <f t="shared" si="30"/>
        <v>1.6890049486747067E-2</v>
      </c>
      <c r="L169">
        <f t="shared" si="31"/>
        <v>6.8380767152822136E-5</v>
      </c>
      <c r="M169">
        <f t="shared" si="32"/>
        <v>1.2538474178838784E-6</v>
      </c>
      <c r="O169" s="2">
        <v>1440.5</v>
      </c>
      <c r="P169" s="3">
        <f t="shared" si="33"/>
        <v>4.5845873900808909E-2</v>
      </c>
      <c r="Q169">
        <f t="shared" si="34"/>
        <v>1.8561082550934782E-4</v>
      </c>
      <c r="R169">
        <f t="shared" si="35"/>
        <v>8.8483044668730499E-6</v>
      </c>
    </row>
    <row r="170" spans="1:18" x14ac:dyDescent="0.25">
      <c r="A170" s="1">
        <v>45734</v>
      </c>
      <c r="B170" s="2">
        <v>2791.4</v>
      </c>
      <c r="C170" s="3">
        <f t="shared" si="24"/>
        <v>3.1883629373602201E-2</v>
      </c>
      <c r="D170" s="3">
        <f t="shared" si="25"/>
        <v>3.1385898466350648E-2</v>
      </c>
      <c r="E170" s="7">
        <f t="shared" si="26"/>
        <v>1.0313858984663506</v>
      </c>
      <c r="F170">
        <f t="shared" si="27"/>
        <v>4.048582995951417E-3</v>
      </c>
      <c r="G170" s="9">
        <f t="shared" si="28"/>
        <v>1.2706841484352489E-4</v>
      </c>
      <c r="H170" s="13">
        <f t="shared" si="29"/>
        <v>3.7770662434457751E-6</v>
      </c>
      <c r="J170">
        <v>261.25</v>
      </c>
      <c r="K170" s="3">
        <f t="shared" si="30"/>
        <v>5.3732618245698862E-3</v>
      </c>
      <c r="L170">
        <f t="shared" si="31"/>
        <v>2.1754096455748528E-5</v>
      </c>
      <c r="M170">
        <f t="shared" si="32"/>
        <v>1.4973621019724531E-7</v>
      </c>
      <c r="O170" s="2">
        <v>1375.95</v>
      </c>
      <c r="P170" s="3">
        <f t="shared" si="33"/>
        <v>4.8506763799114706E-2</v>
      </c>
      <c r="Q170">
        <f t="shared" si="34"/>
        <v>1.9638365910572755E-4</v>
      </c>
      <c r="R170">
        <f t="shared" si="35"/>
        <v>9.8842225203522527E-6</v>
      </c>
    </row>
    <row r="171" spans="1:18" x14ac:dyDescent="0.25">
      <c r="A171" s="1">
        <v>45733</v>
      </c>
      <c r="B171" s="2">
        <v>2705.15</v>
      </c>
      <c r="C171" s="3">
        <f t="shared" si="24"/>
        <v>2.3321354265178774E-2</v>
      </c>
      <c r="D171" s="3">
        <f t="shared" si="25"/>
        <v>2.3053566932688337E-2</v>
      </c>
      <c r="E171" s="7">
        <f t="shared" si="26"/>
        <v>1.0230535669326883</v>
      </c>
      <c r="F171">
        <f t="shared" si="27"/>
        <v>4.048582995951417E-3</v>
      </c>
      <c r="G171" s="9">
        <f t="shared" si="28"/>
        <v>9.3334279079709874E-5</v>
      </c>
      <c r="H171" s="13">
        <f t="shared" si="29"/>
        <v>1.9973999948976448E-6</v>
      </c>
      <c r="J171">
        <v>259.85000000000002</v>
      </c>
      <c r="K171" s="3">
        <f t="shared" si="30"/>
        <v>-1.5844561691865214E-2</v>
      </c>
      <c r="L171">
        <f t="shared" si="31"/>
        <v>-6.4148023043988724E-5</v>
      </c>
      <c r="M171">
        <f t="shared" si="32"/>
        <v>9.2756189335739747E-7</v>
      </c>
      <c r="O171" s="2">
        <v>1310.8</v>
      </c>
      <c r="P171" s="3">
        <f t="shared" si="33"/>
        <v>1.5065619308975072E-2</v>
      </c>
      <c r="Q171">
        <f t="shared" si="34"/>
        <v>6.0994410157793816E-5</v>
      </c>
      <c r="R171">
        <f t="shared" si="35"/>
        <v>1.0324780468229368E-6</v>
      </c>
    </row>
    <row r="172" spans="1:18" x14ac:dyDescent="0.25">
      <c r="A172" s="1">
        <v>45729</v>
      </c>
      <c r="B172" s="2">
        <v>2643.5</v>
      </c>
      <c r="C172" s="3">
        <f t="shared" si="24"/>
        <v>-3.6935137376098372E-3</v>
      </c>
      <c r="D172" s="3">
        <f t="shared" si="25"/>
        <v>-3.7003516018310153E-3</v>
      </c>
      <c r="E172" s="7">
        <f t="shared" si="26"/>
        <v>0.99629964839816898</v>
      </c>
      <c r="F172">
        <f t="shared" si="27"/>
        <v>4.048582995951417E-3</v>
      </c>
      <c r="G172" s="9">
        <f t="shared" si="28"/>
        <v>-1.4981180574214636E-5</v>
      </c>
      <c r="H172" s="13">
        <f t="shared" si="29"/>
        <v>8.3530854344188736E-8</v>
      </c>
      <c r="J172">
        <v>264</v>
      </c>
      <c r="K172" s="3">
        <f t="shared" si="30"/>
        <v>-1.7088013205152183E-2</v>
      </c>
      <c r="L172">
        <f t="shared" si="31"/>
        <v>-6.9182239696972397E-5</v>
      </c>
      <c r="M172">
        <f t="shared" si="32"/>
        <v>1.0862205945560244E-6</v>
      </c>
      <c r="O172" s="2">
        <v>1291.2</v>
      </c>
      <c r="P172" s="3">
        <f t="shared" si="33"/>
        <v>-1.8948823640410555E-2</v>
      </c>
      <c r="Q172">
        <f t="shared" si="34"/>
        <v>-7.6715885183848394E-5</v>
      </c>
      <c r="R172">
        <f t="shared" si="35"/>
        <v>1.3183125080630123E-6</v>
      </c>
    </row>
    <row r="173" spans="1:18" x14ac:dyDescent="0.25">
      <c r="A173" s="1">
        <v>45728</v>
      </c>
      <c r="B173" s="2">
        <v>2653.3</v>
      </c>
      <c r="C173" s="3">
        <f t="shared" si="24"/>
        <v>2.9104928938616091E-3</v>
      </c>
      <c r="D173" s="3">
        <f t="shared" si="25"/>
        <v>2.9062656097530058E-3</v>
      </c>
      <c r="E173" s="7">
        <f t="shared" si="26"/>
        <v>1.0029062656097529</v>
      </c>
      <c r="F173">
        <f t="shared" si="27"/>
        <v>4.048582995951417E-3</v>
      </c>
      <c r="G173" s="9">
        <f t="shared" si="28"/>
        <v>1.1766257529364396E-5</v>
      </c>
      <c r="H173" s="13">
        <f t="shared" si="29"/>
        <v>1.7253331647594913E-8</v>
      </c>
      <c r="J173">
        <v>268.55</v>
      </c>
      <c r="K173" s="3">
        <f t="shared" si="30"/>
        <v>-3.3684312168271009E-2</v>
      </c>
      <c r="L173">
        <f t="shared" si="31"/>
        <v>-1.3637373347478142E-4</v>
      </c>
      <c r="M173">
        <f t="shared" si="32"/>
        <v>4.4025115889188722E-6</v>
      </c>
      <c r="O173" s="2">
        <v>1315.9</v>
      </c>
      <c r="P173" s="3">
        <f t="shared" si="33"/>
        <v>-1.3923439722387621E-2</v>
      </c>
      <c r="Q173">
        <f t="shared" si="34"/>
        <v>-5.6370201305213043E-5</v>
      </c>
      <c r="R173">
        <f t="shared" si="35"/>
        <v>6.8628033648833051E-7</v>
      </c>
    </row>
    <row r="174" spans="1:18" x14ac:dyDescent="0.25">
      <c r="A174" s="1">
        <v>45727</v>
      </c>
      <c r="B174" s="2">
        <v>2645.6</v>
      </c>
      <c r="C174" s="3">
        <f t="shared" si="24"/>
        <v>-2.1090801450455117E-2</v>
      </c>
      <c r="D174" s="3">
        <f t="shared" si="25"/>
        <v>-2.1316389936402707E-2</v>
      </c>
      <c r="E174" s="7">
        <f t="shared" si="26"/>
        <v>0.97868361006359728</v>
      </c>
      <c r="F174">
        <f t="shared" si="27"/>
        <v>4.048582995951417E-3</v>
      </c>
      <c r="G174" s="9">
        <f t="shared" si="28"/>
        <v>-8.6301173831589909E-5</v>
      </c>
      <c r="H174" s="13">
        <f t="shared" si="29"/>
        <v>1.9878144180389998E-6</v>
      </c>
      <c r="J174">
        <v>277.75</v>
      </c>
      <c r="K174" s="3">
        <f t="shared" si="30"/>
        <v>-1.1277305590458517E-2</v>
      </c>
      <c r="L174">
        <f t="shared" si="31"/>
        <v>-4.5657107653678208E-5</v>
      </c>
      <c r="M174">
        <f t="shared" si="32"/>
        <v>4.5224629774555814E-7</v>
      </c>
      <c r="O174" s="2">
        <v>1334.35</v>
      </c>
      <c r="P174" s="3">
        <f t="shared" si="33"/>
        <v>-1.1549193269584626E-2</v>
      </c>
      <c r="Q174">
        <f t="shared" si="34"/>
        <v>-4.675786748819687E-5</v>
      </c>
      <c r="R174">
        <f t="shared" si="35"/>
        <v>4.588039737490645E-7</v>
      </c>
    </row>
    <row r="175" spans="1:18" x14ac:dyDescent="0.25">
      <c r="A175" s="1">
        <v>45726</v>
      </c>
      <c r="B175" s="2">
        <v>2702.6</v>
      </c>
      <c r="C175" s="3">
        <f t="shared" si="24"/>
        <v>-9.2563740674890486E-3</v>
      </c>
      <c r="D175" s="3">
        <f t="shared" si="25"/>
        <v>-9.2994805103745366E-3</v>
      </c>
      <c r="E175" s="7">
        <f t="shared" si="26"/>
        <v>0.99070051948962545</v>
      </c>
      <c r="F175">
        <f t="shared" si="27"/>
        <v>4.048582995951417E-3</v>
      </c>
      <c r="G175" s="9">
        <f t="shared" si="28"/>
        <v>-3.7649718665483953E-5</v>
      </c>
      <c r="H175" s="13">
        <f t="shared" si="29"/>
        <v>4.1638768456938899E-7</v>
      </c>
      <c r="J175">
        <v>280.89999999999998</v>
      </c>
      <c r="K175" s="3">
        <f t="shared" si="30"/>
        <v>-1.3788445427622828E-2</v>
      </c>
      <c r="L175">
        <f t="shared" si="31"/>
        <v>-5.5823665698877848E-5</v>
      </c>
      <c r="M175">
        <f t="shared" si="32"/>
        <v>6.9267768424379535E-7</v>
      </c>
      <c r="O175" s="2">
        <v>1349.85</v>
      </c>
      <c r="P175" s="3">
        <f t="shared" si="33"/>
        <v>1.3311903047732731E-2</v>
      </c>
      <c r="Q175">
        <f t="shared" si="34"/>
        <v>5.3894344322804578E-5</v>
      </c>
      <c r="R175">
        <f t="shared" si="35"/>
        <v>8.181618133417757E-7</v>
      </c>
    </row>
    <row r="176" spans="1:18" x14ac:dyDescent="0.25">
      <c r="A176" s="1">
        <v>45723</v>
      </c>
      <c r="B176" s="2">
        <v>2727.85</v>
      </c>
      <c r="C176" s="3">
        <f t="shared" si="24"/>
        <v>-5.3055717619603926E-3</v>
      </c>
      <c r="D176" s="3">
        <f t="shared" si="25"/>
        <v>-5.3196962891005305E-3</v>
      </c>
      <c r="E176" s="7">
        <f t="shared" si="26"/>
        <v>0.99468030371089944</v>
      </c>
      <c r="F176">
        <f t="shared" si="27"/>
        <v>4.048582995951417E-3</v>
      </c>
      <c r="G176" s="9">
        <f t="shared" si="28"/>
        <v>-2.1537231939678263E-5</v>
      </c>
      <c r="H176" s="13">
        <f t="shared" si="29"/>
        <v>1.5370593399275423E-7</v>
      </c>
      <c r="J176">
        <v>284.8</v>
      </c>
      <c r="K176" s="3">
        <f t="shared" si="30"/>
        <v>-3.8549197904452917E-3</v>
      </c>
      <c r="L176">
        <f t="shared" si="31"/>
        <v>-1.5606962714353409E-5</v>
      </c>
      <c r="M176">
        <f t="shared" si="32"/>
        <v>4.0087047933327524E-8</v>
      </c>
      <c r="O176" s="2">
        <v>1332</v>
      </c>
      <c r="P176" s="3">
        <f t="shared" si="33"/>
        <v>3.8738600826772637E-3</v>
      </c>
      <c r="Q176">
        <f t="shared" si="34"/>
        <v>1.568364405942212E-5</v>
      </c>
      <c r="R176">
        <f t="shared" si="35"/>
        <v>9.2412766974135197E-8</v>
      </c>
    </row>
    <row r="177" spans="1:18" x14ac:dyDescent="0.25">
      <c r="A177" s="1">
        <v>45722</v>
      </c>
      <c r="B177" s="2">
        <v>2742.4</v>
      </c>
      <c r="C177" s="3">
        <f t="shared" si="24"/>
        <v>5.7947627081347403E-3</v>
      </c>
      <c r="D177" s="3">
        <f t="shared" si="25"/>
        <v>5.7780376514314016E-3</v>
      </c>
      <c r="E177" s="7">
        <f t="shared" si="26"/>
        <v>1.0057780376514314</v>
      </c>
      <c r="F177">
        <f t="shared" si="27"/>
        <v>4.048582995951417E-3</v>
      </c>
      <c r="G177" s="9">
        <f t="shared" si="28"/>
        <v>2.3392864985552232E-5</v>
      </c>
      <c r="H177" s="13">
        <f t="shared" si="29"/>
        <v>9.8645252279562809E-8</v>
      </c>
      <c r="J177">
        <v>285.89999999999998</v>
      </c>
      <c r="K177" s="3">
        <f t="shared" si="30"/>
        <v>2.8021034096396215E-3</v>
      </c>
      <c r="L177">
        <f t="shared" si="31"/>
        <v>1.1344548217164459E-5</v>
      </c>
      <c r="M177">
        <f t="shared" si="32"/>
        <v>4.9889127329878737E-8</v>
      </c>
      <c r="O177" s="2">
        <v>1326.85</v>
      </c>
      <c r="P177" s="3">
        <f t="shared" si="33"/>
        <v>1.1826831307150086E-2</v>
      </c>
      <c r="Q177">
        <f t="shared" si="34"/>
        <v>4.7881908126113707E-5</v>
      </c>
      <c r="R177">
        <f t="shared" si="35"/>
        <v>6.5614880102348203E-7</v>
      </c>
    </row>
    <row r="178" spans="1:18" x14ac:dyDescent="0.25">
      <c r="A178" s="1">
        <v>45721</v>
      </c>
      <c r="B178" s="2">
        <v>2726.6</v>
      </c>
      <c r="C178" s="3">
        <f t="shared" si="24"/>
        <v>4.3335182811334111E-2</v>
      </c>
      <c r="D178" s="3">
        <f t="shared" si="25"/>
        <v>4.2422488545001628E-2</v>
      </c>
      <c r="E178" s="7">
        <f t="shared" si="26"/>
        <v>1.0424224885450015</v>
      </c>
      <c r="F178">
        <f t="shared" si="27"/>
        <v>4.048582995951417E-3</v>
      </c>
      <c r="G178" s="9">
        <f t="shared" si="28"/>
        <v>1.7175096576923737E-4</v>
      </c>
      <c r="H178" s="13">
        <f t="shared" si="29"/>
        <v>6.9997760731233113E-6</v>
      </c>
      <c r="J178">
        <v>285.10000000000002</v>
      </c>
      <c r="K178" s="3">
        <f t="shared" si="30"/>
        <v>1.8050392749376726E-2</v>
      </c>
      <c r="L178">
        <f t="shared" si="31"/>
        <v>7.3078513155371366E-5</v>
      </c>
      <c r="M178">
        <f t="shared" si="32"/>
        <v>1.4246431426227089E-6</v>
      </c>
      <c r="O178" s="2">
        <v>1311.25</v>
      </c>
      <c r="P178" s="3">
        <f t="shared" si="33"/>
        <v>2.6702256884201733E-2</v>
      </c>
      <c r="Q178">
        <f t="shared" si="34"/>
        <v>1.0810630317490581E-4</v>
      </c>
      <c r="R178">
        <f t="shared" si="35"/>
        <v>3.0854004066422684E-6</v>
      </c>
    </row>
    <row r="179" spans="1:18" x14ac:dyDescent="0.25">
      <c r="A179" s="1">
        <v>45720</v>
      </c>
      <c r="B179" s="2">
        <v>2613.35</v>
      </c>
      <c r="C179" s="3">
        <f t="shared" si="24"/>
        <v>5.5515142233616066E-4</v>
      </c>
      <c r="D179" s="3">
        <f t="shared" si="25"/>
        <v>5.5499738279277003E-4</v>
      </c>
      <c r="E179" s="7">
        <f t="shared" si="26"/>
        <v>1.0005549973827927</v>
      </c>
      <c r="F179">
        <f t="shared" si="27"/>
        <v>4.048582995951417E-3</v>
      </c>
      <c r="G179" s="9">
        <f t="shared" si="28"/>
        <v>2.2469529667723485E-6</v>
      </c>
      <c r="H179" s="13">
        <f t="shared" si="29"/>
        <v>3.3326972554876867E-10</v>
      </c>
      <c r="J179">
        <v>280</v>
      </c>
      <c r="K179" s="3">
        <f t="shared" si="30"/>
        <v>-1.2598871290787406E-2</v>
      </c>
      <c r="L179">
        <f t="shared" si="31"/>
        <v>-5.100757607606237E-5</v>
      </c>
      <c r="M179">
        <f t="shared" si="32"/>
        <v>5.7241603878286392E-7</v>
      </c>
      <c r="O179" s="2">
        <v>1276.7</v>
      </c>
      <c r="P179" s="3">
        <f t="shared" si="33"/>
        <v>7.4294254738464221E-3</v>
      </c>
      <c r="Q179">
        <f t="shared" si="34"/>
        <v>3.0078645643102925E-5</v>
      </c>
      <c r="R179">
        <f t="shared" si="35"/>
        <v>2.8114373698456181E-7</v>
      </c>
    </row>
    <row r="180" spans="1:18" x14ac:dyDescent="0.25">
      <c r="A180" s="1">
        <v>45719</v>
      </c>
      <c r="B180" s="2">
        <v>2611.9</v>
      </c>
      <c r="C180" s="3">
        <f t="shared" si="24"/>
        <v>1.0367103787087611E-2</v>
      </c>
      <c r="D180" s="3">
        <f t="shared" si="25"/>
        <v>1.0313733910404086E-2</v>
      </c>
      <c r="E180" s="7">
        <f t="shared" si="26"/>
        <v>1.010313733910404</v>
      </c>
      <c r="F180">
        <f t="shared" si="27"/>
        <v>4.048582995951417E-3</v>
      </c>
      <c r="G180" s="9">
        <f t="shared" si="28"/>
        <v>4.1756007734429496E-5</v>
      </c>
      <c r="H180" s="13">
        <f t="shared" si="29"/>
        <v>3.6322060210483415E-7</v>
      </c>
      <c r="J180">
        <v>283.55</v>
      </c>
      <c r="K180" s="3">
        <f t="shared" si="30"/>
        <v>2.1027146772420853E-2</v>
      </c>
      <c r="L180">
        <f t="shared" si="31"/>
        <v>8.513014887619778E-5</v>
      </c>
      <c r="M180">
        <f t="shared" si="32"/>
        <v>1.9126626704372857E-6</v>
      </c>
      <c r="O180" s="2">
        <v>1267.25</v>
      </c>
      <c r="P180" s="3">
        <f t="shared" si="33"/>
        <v>3.3989440674728837E-3</v>
      </c>
      <c r="Q180">
        <f t="shared" si="34"/>
        <v>1.3760907155760663E-5</v>
      </c>
      <c r="R180">
        <f t="shared" si="35"/>
        <v>7.4953571985086774E-8</v>
      </c>
    </row>
    <row r="181" spans="1:18" x14ac:dyDescent="0.25">
      <c r="A181" s="1">
        <v>45716</v>
      </c>
      <c r="B181" s="2">
        <v>2585.1</v>
      </c>
      <c r="C181" s="3">
        <f t="shared" si="24"/>
        <v>-5.1878747868185165E-2</v>
      </c>
      <c r="D181" s="3">
        <f t="shared" si="25"/>
        <v>-5.3272881813386692E-2</v>
      </c>
      <c r="E181" s="7">
        <f t="shared" si="26"/>
        <v>0.94672711818661326</v>
      </c>
      <c r="F181">
        <f t="shared" si="27"/>
        <v>4.048582995951417E-3</v>
      </c>
      <c r="G181" s="9">
        <f t="shared" si="28"/>
        <v>-2.1567968345500684E-4</v>
      </c>
      <c r="H181" s="13">
        <f t="shared" si="29"/>
        <v>1.1855912799382801E-5</v>
      </c>
      <c r="J181">
        <v>277.64999999999998</v>
      </c>
      <c r="K181" s="3">
        <f t="shared" si="30"/>
        <v>-5.8917675404025281E-2</v>
      </c>
      <c r="L181">
        <f t="shared" si="31"/>
        <v>-2.385330988017218E-4</v>
      </c>
      <c r="M181">
        <f t="shared" si="32"/>
        <v>1.3717962154609636E-5</v>
      </c>
      <c r="O181" s="2">
        <v>1262.95</v>
      </c>
      <c r="P181" s="3">
        <f t="shared" si="33"/>
        <v>-3.8635830524375921E-2</v>
      </c>
      <c r="Q181">
        <f t="shared" si="34"/>
        <v>-1.5642036649544908E-4</v>
      </c>
      <c r="R181">
        <f t="shared" si="35"/>
        <v>5.7639950543993831E-6</v>
      </c>
    </row>
    <row r="182" spans="1:18" x14ac:dyDescent="0.25">
      <c r="A182" s="1">
        <v>45715</v>
      </c>
      <c r="B182" s="2">
        <v>2726.55</v>
      </c>
      <c r="C182" s="3">
        <f t="shared" si="24"/>
        <v>-1.8467519844483946E-2</v>
      </c>
      <c r="D182" s="3">
        <f t="shared" si="25"/>
        <v>-1.8640173448906703E-2</v>
      </c>
      <c r="E182" s="7">
        <f t="shared" si="26"/>
        <v>0.98135982655109333</v>
      </c>
      <c r="F182">
        <f t="shared" si="27"/>
        <v>4.048582995951417E-3</v>
      </c>
      <c r="G182" s="9">
        <f t="shared" si="28"/>
        <v>-7.5466289266828764E-5</v>
      </c>
      <c r="H182" s="13">
        <f t="shared" si="29"/>
        <v>1.5366457171895342E-6</v>
      </c>
      <c r="J182">
        <v>294.5</v>
      </c>
      <c r="K182" s="3">
        <f t="shared" si="30"/>
        <v>1.0925339126252537E-2</v>
      </c>
      <c r="L182">
        <f t="shared" si="31"/>
        <v>4.4232142211548736E-5</v>
      </c>
      <c r="M182">
        <f t="shared" si="32"/>
        <v>5.479372737458272E-7</v>
      </c>
      <c r="O182" s="2">
        <v>1312.7</v>
      </c>
      <c r="P182" s="3">
        <f t="shared" si="33"/>
        <v>-7.4377999230926268E-3</v>
      </c>
      <c r="Q182">
        <f t="shared" si="34"/>
        <v>-3.0112550295921565E-5</v>
      </c>
      <c r="R182">
        <f t="shared" si="35"/>
        <v>1.7284723772503E-7</v>
      </c>
    </row>
    <row r="183" spans="1:18" x14ac:dyDescent="0.25">
      <c r="A183" s="1">
        <v>45713</v>
      </c>
      <c r="B183" s="2">
        <v>2777.85</v>
      </c>
      <c r="C183" s="3">
        <f t="shared" si="24"/>
        <v>2.5339583640927248E-2</v>
      </c>
      <c r="D183" s="3">
        <f t="shared" si="25"/>
        <v>2.5023858835375622E-2</v>
      </c>
      <c r="E183" s="7">
        <f t="shared" si="26"/>
        <v>1.0250238588353757</v>
      </c>
      <c r="F183">
        <f t="shared" si="27"/>
        <v>4.048582995951417E-3</v>
      </c>
      <c r="G183" s="9">
        <f t="shared" si="28"/>
        <v>1.0131116937399037E-4</v>
      </c>
      <c r="H183" s="13">
        <f t="shared" si="29"/>
        <v>2.3674767325989163E-6</v>
      </c>
      <c r="J183">
        <v>291.3</v>
      </c>
      <c r="K183" s="3">
        <f t="shared" si="30"/>
        <v>-1.2791169537788841E-2</v>
      </c>
      <c r="L183">
        <f t="shared" si="31"/>
        <v>-5.1786111489023649E-5</v>
      </c>
      <c r="M183">
        <f t="shared" si="32"/>
        <v>5.9108028188668604E-7</v>
      </c>
      <c r="O183" s="2">
        <v>1322.5</v>
      </c>
      <c r="P183" s="3">
        <f t="shared" si="33"/>
        <v>1.4624375195780446E-2</v>
      </c>
      <c r="Q183">
        <f t="shared" si="34"/>
        <v>5.9207996744050392E-5</v>
      </c>
      <c r="R183">
        <f t="shared" si="35"/>
        <v>9.7621035231777535E-7</v>
      </c>
    </row>
    <row r="184" spans="1:18" x14ac:dyDescent="0.25">
      <c r="A184" s="1">
        <v>45712</v>
      </c>
      <c r="B184" s="2">
        <v>2709.2</v>
      </c>
      <c r="C184" s="3">
        <f t="shared" si="24"/>
        <v>1.4928727967482687E-2</v>
      </c>
      <c r="D184" s="3">
        <f t="shared" si="25"/>
        <v>1.4818391277050246E-2</v>
      </c>
      <c r="E184" s="7">
        <f t="shared" si="26"/>
        <v>1.0148183912770503</v>
      </c>
      <c r="F184">
        <f t="shared" si="27"/>
        <v>4.048582995951417E-3</v>
      </c>
      <c r="G184" s="9">
        <f t="shared" si="28"/>
        <v>5.9993486951620431E-5</v>
      </c>
      <c r="H184" s="13">
        <f t="shared" si="29"/>
        <v>7.9085865867804244E-7</v>
      </c>
      <c r="J184">
        <v>295.05</v>
      </c>
      <c r="K184" s="3">
        <f t="shared" si="30"/>
        <v>-3.7583405668485871E-2</v>
      </c>
      <c r="L184">
        <f t="shared" si="31"/>
        <v>-1.5215953711937599E-4</v>
      </c>
      <c r="M184">
        <f t="shared" si="32"/>
        <v>5.5051690478738207E-6</v>
      </c>
      <c r="O184" s="2">
        <v>1303.3</v>
      </c>
      <c r="P184" s="3">
        <f t="shared" si="33"/>
        <v>1.0800074119882158E-2</v>
      </c>
      <c r="Q184">
        <f t="shared" si="34"/>
        <v>4.3724996436769871E-5</v>
      </c>
      <c r="R184">
        <f t="shared" si="35"/>
        <v>5.5457679150458148E-7</v>
      </c>
    </row>
    <row r="185" spans="1:18" x14ac:dyDescent="0.25">
      <c r="A185" s="1">
        <v>45709</v>
      </c>
      <c r="B185" s="2">
        <v>2669.35</v>
      </c>
      <c r="C185" s="3">
        <f t="shared" si="24"/>
        <v>-5.9905967705013267E-2</v>
      </c>
      <c r="D185" s="3">
        <f t="shared" si="25"/>
        <v>-6.1775374364821133E-2</v>
      </c>
      <c r="E185" s="7">
        <f t="shared" si="26"/>
        <v>0.93822462563517883</v>
      </c>
      <c r="F185">
        <f t="shared" si="27"/>
        <v>4.048582995951417E-3</v>
      </c>
      <c r="G185" s="9">
        <f t="shared" si="28"/>
        <v>-2.5010273022194789E-4</v>
      </c>
      <c r="H185" s="13">
        <f t="shared" si="29"/>
        <v>1.5874186369570242E-5</v>
      </c>
      <c r="J185">
        <v>306.35000000000002</v>
      </c>
      <c r="K185" s="3">
        <f t="shared" si="30"/>
        <v>-2.2432958786482396E-2</v>
      </c>
      <c r="L185">
        <f t="shared" si="31"/>
        <v>-9.0821695491831569E-5</v>
      </c>
      <c r="M185">
        <f t="shared" si="32"/>
        <v>1.9107804259746004E-6</v>
      </c>
      <c r="O185" s="2">
        <v>1289.3</v>
      </c>
      <c r="P185" s="3">
        <f t="shared" si="33"/>
        <v>2.3027397798323506E-2</v>
      </c>
      <c r="Q185">
        <f t="shared" si="34"/>
        <v>9.3228331167301639E-5</v>
      </c>
      <c r="R185">
        <f t="shared" si="35"/>
        <v>2.3186308307981739E-6</v>
      </c>
    </row>
    <row r="186" spans="1:18" x14ac:dyDescent="0.25">
      <c r="A186" s="1">
        <v>45708</v>
      </c>
      <c r="B186" s="2">
        <v>2839.45</v>
      </c>
      <c r="C186" s="3">
        <f t="shared" si="24"/>
        <v>2.9756292159280381E-2</v>
      </c>
      <c r="D186" s="3">
        <f t="shared" si="25"/>
        <v>2.9322164690990957E-2</v>
      </c>
      <c r="E186" s="7">
        <f t="shared" si="26"/>
        <v>1.0293221646909909</v>
      </c>
      <c r="F186">
        <f t="shared" si="27"/>
        <v>4.048582995951417E-3</v>
      </c>
      <c r="G186" s="9">
        <f t="shared" si="28"/>
        <v>1.1871321737243303E-4</v>
      </c>
      <c r="H186" s="13">
        <f t="shared" si="29"/>
        <v>3.2839070005323306E-6</v>
      </c>
      <c r="J186">
        <v>313.3</v>
      </c>
      <c r="K186" s="3">
        <f t="shared" si="30"/>
        <v>-2.5502085864548339E-3</v>
      </c>
      <c r="L186">
        <f t="shared" si="31"/>
        <v>-1.0324731119250339E-5</v>
      </c>
      <c r="M186">
        <f t="shared" si="32"/>
        <v>1.3736007748332979E-8</v>
      </c>
      <c r="O186" s="2">
        <v>1259.95</v>
      </c>
      <c r="P186" s="3">
        <f t="shared" si="33"/>
        <v>9.925953210090121E-4</v>
      </c>
      <c r="Q186">
        <f t="shared" si="34"/>
        <v>4.018604538498025E-6</v>
      </c>
      <c r="R186">
        <f t="shared" si="35"/>
        <v>1.4559848167822542E-8</v>
      </c>
    </row>
    <row r="187" spans="1:18" x14ac:dyDescent="0.25">
      <c r="A187" s="1">
        <v>45707</v>
      </c>
      <c r="B187" s="2">
        <v>2757.4</v>
      </c>
      <c r="C187" s="3">
        <f t="shared" si="24"/>
        <v>-1.1702299241949101E-2</v>
      </c>
      <c r="D187" s="3">
        <f t="shared" si="25"/>
        <v>-1.1771310064254286E-2</v>
      </c>
      <c r="E187" s="7">
        <f t="shared" si="26"/>
        <v>0.98822868993574575</v>
      </c>
      <c r="F187">
        <f t="shared" si="27"/>
        <v>4.048582995951417E-3</v>
      </c>
      <c r="G187" s="9">
        <f t="shared" si="28"/>
        <v>-4.7657125766211682E-5</v>
      </c>
      <c r="H187" s="13">
        <f t="shared" si="29"/>
        <v>6.4410229318626208E-7</v>
      </c>
      <c r="J187">
        <v>314.10000000000002</v>
      </c>
      <c r="K187" s="3">
        <f t="shared" si="30"/>
        <v>6.0673984632692692E-3</v>
      </c>
      <c r="L187">
        <f t="shared" si="31"/>
        <v>2.4564366248053722E-5</v>
      </c>
      <c r="M187">
        <f t="shared" si="32"/>
        <v>1.8586832609979739E-7</v>
      </c>
      <c r="O187" s="2">
        <v>1258.7</v>
      </c>
      <c r="P187" s="3">
        <f t="shared" si="33"/>
        <v>1.888702212086691E-2</v>
      </c>
      <c r="Q187">
        <f t="shared" si="34"/>
        <v>7.6465676602700035E-5</v>
      </c>
      <c r="R187">
        <f t="shared" si="35"/>
        <v>1.5857340032115377E-6</v>
      </c>
    </row>
    <row r="188" spans="1:18" x14ac:dyDescent="0.25">
      <c r="A188" s="1">
        <v>45706</v>
      </c>
      <c r="B188" s="2">
        <v>2790.05</v>
      </c>
      <c r="C188" s="3">
        <f t="shared" si="24"/>
        <v>-1.4795458959374156E-2</v>
      </c>
      <c r="D188" s="3">
        <f t="shared" si="25"/>
        <v>-1.4906003488737919E-2</v>
      </c>
      <c r="E188" s="7">
        <f t="shared" si="26"/>
        <v>0.98509399651126206</v>
      </c>
      <c r="F188">
        <f t="shared" si="27"/>
        <v>4.048582995951417E-3</v>
      </c>
      <c r="G188" s="9">
        <f t="shared" si="28"/>
        <v>-6.034819226209684E-5</v>
      </c>
      <c r="H188" s="13">
        <f t="shared" si="29"/>
        <v>1.0040352707005541E-6</v>
      </c>
      <c r="J188">
        <v>312.2</v>
      </c>
      <c r="K188" s="3">
        <f t="shared" si="30"/>
        <v>2.218534841218783E-2</v>
      </c>
      <c r="L188">
        <f t="shared" si="31"/>
        <v>8.9819224340841411E-5</v>
      </c>
      <c r="M188">
        <f t="shared" si="32"/>
        <v>2.1219314413708272E-6</v>
      </c>
      <c r="O188" s="2">
        <v>1235.1500000000001</v>
      </c>
      <c r="P188" s="3">
        <f t="shared" si="33"/>
        <v>-3.3946284366335217E-3</v>
      </c>
      <c r="Q188">
        <f t="shared" si="34"/>
        <v>-1.3743434966127619E-5</v>
      </c>
      <c r="R188">
        <f t="shared" si="35"/>
        <v>2.5118499076940672E-8</v>
      </c>
    </row>
    <row r="189" spans="1:18" x14ac:dyDescent="0.25">
      <c r="A189" s="1">
        <v>45705</v>
      </c>
      <c r="B189" s="2">
        <v>2831.95</v>
      </c>
      <c r="C189" s="3">
        <f t="shared" si="24"/>
        <v>-3.7602800244681607E-2</v>
      </c>
      <c r="D189" s="3">
        <f t="shared" si="25"/>
        <v>-3.8328023973325791E-2</v>
      </c>
      <c r="E189" s="7">
        <f t="shared" si="26"/>
        <v>0.9616719760266742</v>
      </c>
      <c r="F189">
        <f t="shared" si="27"/>
        <v>4.048582995951417E-3</v>
      </c>
      <c r="G189" s="9">
        <f t="shared" si="28"/>
        <v>-1.5517418612682505E-4</v>
      </c>
      <c r="H189" s="13">
        <f t="shared" si="29"/>
        <v>6.2116743314393343E-6</v>
      </c>
      <c r="J189">
        <v>305.35000000000002</v>
      </c>
      <c r="K189" s="3">
        <f t="shared" si="30"/>
        <v>-8.9657459334784809E-3</v>
      </c>
      <c r="L189">
        <f t="shared" si="31"/>
        <v>-3.6298566532301544E-5</v>
      </c>
      <c r="M189">
        <f t="shared" si="32"/>
        <v>2.7605733015194019E-7</v>
      </c>
      <c r="O189" s="2">
        <v>1239.3499999999999</v>
      </c>
      <c r="P189" s="3">
        <f t="shared" si="33"/>
        <v>1.3322300672493185E-3</v>
      </c>
      <c r="Q189">
        <f t="shared" si="34"/>
        <v>5.3936439969608041E-6</v>
      </c>
      <c r="R189">
        <f t="shared" si="35"/>
        <v>2.024207241397301E-8</v>
      </c>
    </row>
    <row r="190" spans="1:18" x14ac:dyDescent="0.25">
      <c r="A190" s="1">
        <v>45702</v>
      </c>
      <c r="B190" s="2">
        <v>2942.6</v>
      </c>
      <c r="C190" s="3">
        <f t="shared" si="24"/>
        <v>-1.1887172599059801E-2</v>
      </c>
      <c r="D190" s="3">
        <f t="shared" si="25"/>
        <v>-1.1958389980107708E-2</v>
      </c>
      <c r="E190" s="7">
        <f t="shared" si="26"/>
        <v>0.98804161001989232</v>
      </c>
      <c r="F190">
        <f t="shared" si="27"/>
        <v>4.048582995951417E-3</v>
      </c>
      <c r="G190" s="9">
        <f t="shared" si="28"/>
        <v>-4.8414534332419871E-5</v>
      </c>
      <c r="H190" s="13">
        <f t="shared" si="29"/>
        <v>6.6335070772439379E-7</v>
      </c>
      <c r="J190">
        <v>308.10000000000002</v>
      </c>
      <c r="K190" s="3">
        <f t="shared" si="30"/>
        <v>-1.4594991644536043E-3</v>
      </c>
      <c r="L190">
        <f t="shared" si="31"/>
        <v>-5.9089034998121635E-6</v>
      </c>
      <c r="M190">
        <f t="shared" si="32"/>
        <v>2.2848913415370543E-9</v>
      </c>
      <c r="O190" s="2">
        <v>1237.7</v>
      </c>
      <c r="P190" s="3">
        <f t="shared" si="33"/>
        <v>-1.4438367448941574E-2</v>
      </c>
      <c r="Q190">
        <f t="shared" si="34"/>
        <v>-5.8454928943083297E-5</v>
      </c>
      <c r="R190">
        <f t="shared" si="35"/>
        <v>7.4163866204536484E-7</v>
      </c>
    </row>
    <row r="191" spans="1:18" x14ac:dyDescent="0.25">
      <c r="A191" s="1">
        <v>45701</v>
      </c>
      <c r="B191" s="2">
        <v>2978</v>
      </c>
      <c r="C191" s="3">
        <f t="shared" si="24"/>
        <v>-3.0798071772897089E-3</v>
      </c>
      <c r="D191" s="3">
        <f t="shared" si="25"/>
        <v>-3.084559543503832E-3</v>
      </c>
      <c r="E191" s="7">
        <f t="shared" si="26"/>
        <v>0.99691544045649616</v>
      </c>
      <c r="F191">
        <f t="shared" si="27"/>
        <v>4.048582995951417E-3</v>
      </c>
      <c r="G191" s="9">
        <f t="shared" si="28"/>
        <v>-1.2488095317829279E-5</v>
      </c>
      <c r="H191" s="13">
        <f t="shared" si="29"/>
        <v>6.2417596253441165E-8</v>
      </c>
      <c r="J191">
        <v>308.55</v>
      </c>
      <c r="K191" s="3">
        <f t="shared" si="30"/>
        <v>-5.3333459753625049E-3</v>
      </c>
      <c r="L191">
        <f t="shared" si="31"/>
        <v>-2.1592493827378562E-5</v>
      </c>
      <c r="M191">
        <f t="shared" si="32"/>
        <v>8.6605136794352558E-8</v>
      </c>
      <c r="O191" s="2">
        <v>1255.7</v>
      </c>
      <c r="P191" s="3">
        <f t="shared" si="33"/>
        <v>-1.0378385885665236E-2</v>
      </c>
      <c r="Q191">
        <f t="shared" si="34"/>
        <v>-4.2017756622126464E-5</v>
      </c>
      <c r="R191">
        <f t="shared" si="35"/>
        <v>3.6343296015487421E-7</v>
      </c>
    </row>
    <row r="192" spans="1:18" x14ac:dyDescent="0.25">
      <c r="A192" s="1">
        <v>45700</v>
      </c>
      <c r="B192" s="2">
        <v>2987.2</v>
      </c>
      <c r="C192" s="3">
        <f t="shared" si="24"/>
        <v>-3.1999870380271876E-2</v>
      </c>
      <c r="D192" s="3">
        <f t="shared" si="25"/>
        <v>-3.2523057800891167E-2</v>
      </c>
      <c r="E192" s="7">
        <f t="shared" si="26"/>
        <v>0.96747694219910885</v>
      </c>
      <c r="F192">
        <f t="shared" si="27"/>
        <v>4.048582995951417E-3</v>
      </c>
      <c r="G192" s="9">
        <f t="shared" si="28"/>
        <v>-1.3167229878903306E-4</v>
      </c>
      <c r="H192" s="13">
        <f t="shared" si="29"/>
        <v>4.5069673424490796E-6</v>
      </c>
      <c r="J192">
        <v>310.2</v>
      </c>
      <c r="K192" s="3">
        <f t="shared" si="30"/>
        <v>-8.9859397977148422E-3</v>
      </c>
      <c r="L192">
        <f t="shared" si="31"/>
        <v>-3.6380323067671425E-5</v>
      </c>
      <c r="M192">
        <f t="shared" si="32"/>
        <v>2.7740918887136573E-7</v>
      </c>
      <c r="O192" s="2">
        <v>1268.8</v>
      </c>
      <c r="P192" s="3">
        <f t="shared" si="33"/>
        <v>-1.0622760259768825E-2</v>
      </c>
      <c r="Q192">
        <f t="shared" si="34"/>
        <v>-4.3007126557768521E-5</v>
      </c>
      <c r="R192">
        <f t="shared" si="35"/>
        <v>3.8242249473790308E-7</v>
      </c>
    </row>
    <row r="193" spans="1:18" x14ac:dyDescent="0.25">
      <c r="A193" s="1">
        <v>45699</v>
      </c>
      <c r="B193" s="2">
        <v>3085.95</v>
      </c>
      <c r="C193" s="3">
        <f t="shared" si="24"/>
        <v>-1.6351900549844665E-2</v>
      </c>
      <c r="D193" s="3">
        <f t="shared" si="25"/>
        <v>-1.6487068402068233E-2</v>
      </c>
      <c r="E193" s="7">
        <f t="shared" si="26"/>
        <v>0.98351293159793174</v>
      </c>
      <c r="F193">
        <f t="shared" si="27"/>
        <v>4.048582995951417E-3</v>
      </c>
      <c r="G193" s="9">
        <f t="shared" si="28"/>
        <v>-6.6749264785701348E-5</v>
      </c>
      <c r="H193" s="13">
        <f t="shared" si="29"/>
        <v>1.2157628271586702E-6</v>
      </c>
      <c r="J193">
        <v>313</v>
      </c>
      <c r="K193" s="3">
        <f t="shared" si="30"/>
        <v>-1.9144639774202755E-2</v>
      </c>
      <c r="L193">
        <f t="shared" si="31"/>
        <v>-7.7508663053452452E-5</v>
      </c>
      <c r="M193">
        <f t="shared" si="32"/>
        <v>1.3761145447065748E-6</v>
      </c>
      <c r="O193" s="2">
        <v>1282.3499999999999</v>
      </c>
      <c r="P193" s="3">
        <f t="shared" si="33"/>
        <v>-5.152136523085174E-2</v>
      </c>
      <c r="Q193">
        <f t="shared" si="34"/>
        <v>-2.085885232018289E-4</v>
      </c>
      <c r="R193">
        <f t="shared" si="35"/>
        <v>1.037303151069621E-5</v>
      </c>
    </row>
    <row r="194" spans="1:18" x14ac:dyDescent="0.25">
      <c r="A194" s="1">
        <v>45698</v>
      </c>
      <c r="B194" s="2">
        <v>3137.25</v>
      </c>
      <c r="C194" s="3">
        <f t="shared" si="24"/>
        <v>-1.9134268161140496E-2</v>
      </c>
      <c r="D194" s="3">
        <f t="shared" si="25"/>
        <v>-1.9319697449935069E-2</v>
      </c>
      <c r="E194" s="7">
        <f t="shared" si="26"/>
        <v>0.98068030255006489</v>
      </c>
      <c r="F194">
        <f t="shared" si="27"/>
        <v>4.048582995951417E-3</v>
      </c>
      <c r="G194" s="9">
        <f t="shared" si="28"/>
        <v>-7.8217398582733076E-5</v>
      </c>
      <c r="H194" s="13">
        <f t="shared" si="29"/>
        <v>1.6457098327660986E-6</v>
      </c>
      <c r="J194">
        <v>319.05</v>
      </c>
      <c r="K194" s="3">
        <f t="shared" si="30"/>
        <v>3.2964475341790253E-3</v>
      </c>
      <c r="L194">
        <f t="shared" si="31"/>
        <v>1.3345941433923179E-5</v>
      </c>
      <c r="M194">
        <f t="shared" si="32"/>
        <v>6.4929718349347935E-8</v>
      </c>
      <c r="O194" s="2">
        <v>1350.15</v>
      </c>
      <c r="P194" s="3">
        <f t="shared" si="33"/>
        <v>-4.1457277631317978E-2</v>
      </c>
      <c r="Q194">
        <f t="shared" si="34"/>
        <v>-1.67843229276591E-4</v>
      </c>
      <c r="R194">
        <f t="shared" si="35"/>
        <v>6.6582398688783912E-6</v>
      </c>
    </row>
    <row r="195" spans="1:18" x14ac:dyDescent="0.25">
      <c r="A195" s="1">
        <v>45695</v>
      </c>
      <c r="B195" s="2">
        <v>3198.45</v>
      </c>
      <c r="C195" s="3">
        <f t="shared" ref="C195:C248" si="36">(B195-B196)/B196</f>
        <v>1.8630869918310804E-2</v>
      </c>
      <c r="D195" s="3">
        <f t="shared" ref="D195:D248" si="37">LN(B195/B196)</f>
        <v>1.845944123171395E-2</v>
      </c>
      <c r="E195" s="7">
        <f t="shared" ref="E195:E248" si="38">D195+1</f>
        <v>1.0184594412317141</v>
      </c>
      <c r="F195">
        <f t="shared" ref="F195:F248" si="39">1/247</f>
        <v>4.048582995951417E-3</v>
      </c>
      <c r="G195" s="9">
        <f t="shared" ref="G195:G248" si="40">D195*F195</f>
        <v>7.4734579885481586E-5</v>
      </c>
      <c r="H195" s="13">
        <f t="shared" ref="H195:H248" si="41">(D195-$G$254)^2*F195</f>
        <v>1.2565889963008363E-6</v>
      </c>
      <c r="J195">
        <v>318</v>
      </c>
      <c r="K195" s="3">
        <f t="shared" ref="K195:K248" si="42">LN(J195/J196)</f>
        <v>1.5724506676007252E-4</v>
      </c>
      <c r="L195">
        <f t="shared" ref="L195:L248" si="43">K195*F195</f>
        <v>6.3661970348207501E-7</v>
      </c>
      <c r="M195">
        <f t="shared" ref="M195:M248" si="44">(K195-$L$254)^2*F195</f>
        <v>3.0327528058768366E-9</v>
      </c>
      <c r="O195" s="2">
        <v>1407.3</v>
      </c>
      <c r="P195" s="3">
        <f t="shared" ref="P195:P248" si="45">LN(O195/O196)</f>
        <v>2.3401078614597941E-2</v>
      </c>
      <c r="Q195">
        <f t="shared" ref="Q195:Q248" si="46">P195*F195</f>
        <v>9.4741208965983562E-5</v>
      </c>
      <c r="R195">
        <f t="shared" ref="R195:R248" si="47">(P195-$Q$254)^2*F195</f>
        <v>2.3916060937989944E-6</v>
      </c>
    </row>
    <row r="196" spans="1:18" x14ac:dyDescent="0.25">
      <c r="A196" s="1">
        <v>45694</v>
      </c>
      <c r="B196" s="2">
        <v>3139.95</v>
      </c>
      <c r="C196" s="3">
        <f t="shared" si="36"/>
        <v>-1.2206055839559632E-2</v>
      </c>
      <c r="D196" s="3">
        <f t="shared" si="37"/>
        <v>-1.2281161527690666E-2</v>
      </c>
      <c r="E196" s="7">
        <f t="shared" si="38"/>
        <v>0.98771883847230935</v>
      </c>
      <c r="F196">
        <f t="shared" si="39"/>
        <v>4.048582995951417E-3</v>
      </c>
      <c r="G196" s="9">
        <f t="shared" si="40"/>
        <v>-4.9721301731541161E-5</v>
      </c>
      <c r="H196" s="13">
        <f t="shared" si="41"/>
        <v>6.9722651889440181E-7</v>
      </c>
      <c r="J196">
        <v>317.95</v>
      </c>
      <c r="K196" s="3">
        <f t="shared" si="42"/>
        <v>2.6769561691151475E-3</v>
      </c>
      <c r="L196">
        <f t="shared" si="43"/>
        <v>1.0837879227186833E-5</v>
      </c>
      <c r="M196">
        <f t="shared" si="44"/>
        <v>4.6395356303430635E-8</v>
      </c>
      <c r="O196" s="2">
        <v>1374.75</v>
      </c>
      <c r="P196" s="3">
        <f t="shared" si="45"/>
        <v>3.035235215266642E-2</v>
      </c>
      <c r="Q196">
        <f t="shared" si="46"/>
        <v>1.2288401681241466E-4</v>
      </c>
      <c r="R196">
        <f t="shared" si="47"/>
        <v>3.9552490209186447E-6</v>
      </c>
    </row>
    <row r="197" spans="1:18" x14ac:dyDescent="0.25">
      <c r="A197" s="1">
        <v>45693</v>
      </c>
      <c r="B197" s="2">
        <v>3178.75</v>
      </c>
      <c r="C197" s="3">
        <f t="shared" si="36"/>
        <v>-3.2298019786457352E-3</v>
      </c>
      <c r="D197" s="3">
        <f t="shared" si="37"/>
        <v>-3.235029047021401E-3</v>
      </c>
      <c r="E197" s="7">
        <f t="shared" si="38"/>
        <v>0.99676497095297856</v>
      </c>
      <c r="F197">
        <f t="shared" si="39"/>
        <v>4.048582995951417E-3</v>
      </c>
      <c r="G197" s="9">
        <f t="shared" si="40"/>
        <v>-1.3097283591179762E-5</v>
      </c>
      <c r="H197" s="13">
        <f t="shared" si="41"/>
        <v>6.7293176306888794E-8</v>
      </c>
      <c r="J197">
        <v>317.10000000000002</v>
      </c>
      <c r="K197" s="3">
        <f t="shared" si="42"/>
        <v>2.6841415025718124E-3</v>
      </c>
      <c r="L197">
        <f t="shared" si="43"/>
        <v>1.0866969646039726E-5</v>
      </c>
      <c r="M197">
        <f t="shared" si="44"/>
        <v>4.6592519735219564E-8</v>
      </c>
      <c r="O197" s="2">
        <v>1333.65</v>
      </c>
      <c r="P197" s="3">
        <f t="shared" si="45"/>
        <v>-1.4256974349112807E-2</v>
      </c>
      <c r="Q197">
        <f t="shared" si="46"/>
        <v>-5.7720543923533631E-5</v>
      </c>
      <c r="R197">
        <f t="shared" si="47"/>
        <v>7.2189269458991651E-7</v>
      </c>
    </row>
    <row r="198" spans="1:18" x14ac:dyDescent="0.25">
      <c r="A198" s="1">
        <v>45692</v>
      </c>
      <c r="B198" s="2">
        <v>3189.05</v>
      </c>
      <c r="C198" s="3">
        <f t="shared" si="36"/>
        <v>4.9632874294898051E-3</v>
      </c>
      <c r="D198" s="3">
        <f t="shared" si="37"/>
        <v>4.951010922899607E-3</v>
      </c>
      <c r="E198" s="7">
        <f t="shared" si="38"/>
        <v>1.0049510109228996</v>
      </c>
      <c r="F198">
        <f t="shared" si="39"/>
        <v>4.048582995951417E-3</v>
      </c>
      <c r="G198" s="9">
        <f t="shared" si="40"/>
        <v>2.0044578635221081E-5</v>
      </c>
      <c r="H198" s="13">
        <f t="shared" si="41"/>
        <v>6.8359222581098465E-8</v>
      </c>
      <c r="J198">
        <v>316.25</v>
      </c>
      <c r="K198" s="3">
        <f t="shared" si="42"/>
        <v>8.4147515654770643E-3</v>
      </c>
      <c r="L198">
        <f t="shared" si="43"/>
        <v>3.4067820103146008E-5</v>
      </c>
      <c r="M198">
        <f t="shared" si="44"/>
        <v>3.3696050340149822E-7</v>
      </c>
      <c r="O198" s="2">
        <v>1352.8</v>
      </c>
      <c r="P198" s="3">
        <f t="shared" si="45"/>
        <v>6.3030871241634857E-3</v>
      </c>
      <c r="Q198">
        <f t="shared" si="46"/>
        <v>2.5518571352888607E-5</v>
      </c>
      <c r="R198">
        <f t="shared" si="47"/>
        <v>2.1027974772867283E-7</v>
      </c>
    </row>
    <row r="199" spans="1:18" x14ac:dyDescent="0.25">
      <c r="A199" s="1">
        <v>45691</v>
      </c>
      <c r="B199" s="2">
        <v>3173.3</v>
      </c>
      <c r="C199" s="3">
        <f t="shared" si="36"/>
        <v>3.1380515153977467E-2</v>
      </c>
      <c r="D199" s="3">
        <f t="shared" si="37"/>
        <v>3.089821080800511E-2</v>
      </c>
      <c r="E199" s="7">
        <f t="shared" si="38"/>
        <v>1.0308982108080051</v>
      </c>
      <c r="F199">
        <f t="shared" si="39"/>
        <v>4.048582995951417E-3</v>
      </c>
      <c r="G199" s="9">
        <f t="shared" si="40"/>
        <v>1.2509397088261178E-4</v>
      </c>
      <c r="H199" s="13">
        <f t="shared" si="41"/>
        <v>3.6574143598097373E-6</v>
      </c>
      <c r="J199">
        <v>313.60000000000002</v>
      </c>
      <c r="K199" s="3">
        <f t="shared" si="42"/>
        <v>2.8462464663761667E-2</v>
      </c>
      <c r="L199">
        <f t="shared" si="43"/>
        <v>1.1523265046057356E-4</v>
      </c>
      <c r="M199">
        <f t="shared" si="44"/>
        <v>3.4450642569292915E-6</v>
      </c>
      <c r="O199" s="2">
        <v>1344.3</v>
      </c>
      <c r="P199" s="3">
        <f t="shared" si="45"/>
        <v>-3.8739935658143425E-2</v>
      </c>
      <c r="Q199">
        <f t="shared" si="46"/>
        <v>-1.5684184476981143E-4</v>
      </c>
      <c r="R199">
        <f t="shared" si="47"/>
        <v>5.7958454019499647E-6</v>
      </c>
    </row>
    <row r="200" spans="1:18" x14ac:dyDescent="0.25">
      <c r="A200" s="1">
        <v>45689</v>
      </c>
      <c r="B200" s="2">
        <v>3076.75</v>
      </c>
      <c r="C200" s="3">
        <f t="shared" si="36"/>
        <v>2.9065003261033194E-2</v>
      </c>
      <c r="D200" s="3">
        <f t="shared" si="37"/>
        <v>2.8650626150211429E-2</v>
      </c>
      <c r="E200" s="7">
        <f t="shared" si="38"/>
        <v>1.0286506261502115</v>
      </c>
      <c r="F200">
        <f t="shared" si="39"/>
        <v>4.048582995951417E-3</v>
      </c>
      <c r="G200" s="9">
        <f t="shared" si="40"/>
        <v>1.15994437855107E-4</v>
      </c>
      <c r="H200" s="13">
        <f t="shared" si="41"/>
        <v>3.1308696879241775E-6</v>
      </c>
      <c r="J200">
        <v>304.8</v>
      </c>
      <c r="K200" s="3">
        <f t="shared" si="42"/>
        <v>-2.30267998012663E-2</v>
      </c>
      <c r="L200">
        <f t="shared" si="43"/>
        <v>-9.3225910126584207E-5</v>
      </c>
      <c r="M200">
        <f t="shared" si="44"/>
        <v>2.0166698499649775E-6</v>
      </c>
      <c r="O200" s="2">
        <v>1397.4</v>
      </c>
      <c r="P200" s="3">
        <f t="shared" si="45"/>
        <v>-4.6183294756237094E-2</v>
      </c>
      <c r="Q200">
        <f t="shared" si="46"/>
        <v>-1.8697690184711375E-4</v>
      </c>
      <c r="R200">
        <f t="shared" si="47"/>
        <v>8.3005401883862183E-6</v>
      </c>
    </row>
    <row r="201" spans="1:18" x14ac:dyDescent="0.25">
      <c r="A201" s="1">
        <v>45688</v>
      </c>
      <c r="B201" s="2">
        <v>2989.85</v>
      </c>
      <c r="C201" s="3">
        <f t="shared" si="36"/>
        <v>6.1922630365646714E-3</v>
      </c>
      <c r="D201" s="3">
        <f t="shared" si="37"/>
        <v>6.1731697556800993E-3</v>
      </c>
      <c r="E201" s="7">
        <f t="shared" si="38"/>
        <v>1.0061731697556802</v>
      </c>
      <c r="F201">
        <f t="shared" si="39"/>
        <v>4.048582995951417E-3</v>
      </c>
      <c r="G201" s="9">
        <f t="shared" si="40"/>
        <v>2.4992590103968013E-5</v>
      </c>
      <c r="H201" s="13">
        <f t="shared" si="41"/>
        <v>1.1507025666049133E-7</v>
      </c>
      <c r="J201">
        <v>311.89999999999998</v>
      </c>
      <c r="K201" s="3">
        <f t="shared" si="42"/>
        <v>9.341346716011948E-3</v>
      </c>
      <c r="L201">
        <f t="shared" si="43"/>
        <v>3.7819217473732583E-5</v>
      </c>
      <c r="M201">
        <f t="shared" si="44"/>
        <v>4.0888457386464717E-7</v>
      </c>
      <c r="O201" s="2">
        <v>1463.45</v>
      </c>
      <c r="P201" s="3">
        <f t="shared" si="45"/>
        <v>6.9254253754646661E-3</v>
      </c>
      <c r="Q201">
        <f t="shared" si="46"/>
        <v>2.8038159414836707E-5</v>
      </c>
      <c r="R201">
        <f t="shared" si="47"/>
        <v>2.4816451381350244E-7</v>
      </c>
    </row>
    <row r="202" spans="1:18" x14ac:dyDescent="0.25">
      <c r="A202" s="1">
        <v>45687</v>
      </c>
      <c r="B202" s="2">
        <v>2971.45</v>
      </c>
      <c r="C202" s="3">
        <f t="shared" si="36"/>
        <v>1.6106143245507517E-2</v>
      </c>
      <c r="D202" s="3">
        <f t="shared" si="37"/>
        <v>1.5977815397836388E-2</v>
      </c>
      <c r="E202" s="7">
        <f t="shared" si="38"/>
        <v>1.0159778153978365</v>
      </c>
      <c r="F202">
        <f t="shared" si="39"/>
        <v>4.048582995951417E-3</v>
      </c>
      <c r="G202" s="9">
        <f t="shared" si="40"/>
        <v>6.4687511732131129E-5</v>
      </c>
      <c r="H202" s="13">
        <f t="shared" si="41"/>
        <v>9.2751294323562663E-7</v>
      </c>
      <c r="J202">
        <v>309</v>
      </c>
      <c r="K202" s="3">
        <f t="shared" si="42"/>
        <v>-1.110317947734521E-2</v>
      </c>
      <c r="L202">
        <f t="shared" si="43"/>
        <v>-4.4952143632976558E-5</v>
      </c>
      <c r="M202">
        <f t="shared" si="44"/>
        <v>4.3746744924772857E-7</v>
      </c>
      <c r="O202" s="2">
        <v>1453.35</v>
      </c>
      <c r="P202" s="3">
        <f t="shared" si="45"/>
        <v>-1.4820651005347574E-2</v>
      </c>
      <c r="Q202">
        <f t="shared" si="46"/>
        <v>-6.000263564918046E-5</v>
      </c>
      <c r="R202">
        <f t="shared" si="47"/>
        <v>7.8412543317962083E-7</v>
      </c>
    </row>
    <row r="203" spans="1:18" x14ac:dyDescent="0.25">
      <c r="A203" s="1">
        <v>45686</v>
      </c>
      <c r="B203" s="2">
        <v>2924.35</v>
      </c>
      <c r="C203" s="3">
        <f t="shared" si="36"/>
        <v>1.8724308506932349E-2</v>
      </c>
      <c r="D203" s="3">
        <f t="shared" si="37"/>
        <v>1.8551166611438144E-2</v>
      </c>
      <c r="E203" s="7">
        <f t="shared" si="38"/>
        <v>1.0185511666114382</v>
      </c>
      <c r="F203">
        <f t="shared" si="39"/>
        <v>4.048582995951417E-3</v>
      </c>
      <c r="G203" s="9">
        <f t="shared" si="40"/>
        <v>7.5105937698130142E-5</v>
      </c>
      <c r="H203" s="13">
        <f t="shared" si="41"/>
        <v>1.2697078765512191E-6</v>
      </c>
      <c r="J203">
        <v>312.45</v>
      </c>
      <c r="K203" s="3">
        <f t="shared" si="42"/>
        <v>2.8733410853615613E-2</v>
      </c>
      <c r="L203">
        <f t="shared" si="43"/>
        <v>1.1632959859763406E-4</v>
      </c>
      <c r="M203">
        <f t="shared" si="44"/>
        <v>3.5093590034957551E-6</v>
      </c>
      <c r="O203" s="2">
        <v>1475.05</v>
      </c>
      <c r="P203" s="3">
        <f t="shared" si="45"/>
        <v>6.0519700561131777E-3</v>
      </c>
      <c r="Q203">
        <f t="shared" si="46"/>
        <v>2.4501903061186955E-5</v>
      </c>
      <c r="R203">
        <f t="shared" si="47"/>
        <v>1.9588104078656762E-7</v>
      </c>
    </row>
    <row r="204" spans="1:18" x14ac:dyDescent="0.25">
      <c r="A204" s="1">
        <v>45685</v>
      </c>
      <c r="B204" s="2">
        <v>2870.6</v>
      </c>
      <c r="C204" s="3">
        <f t="shared" si="36"/>
        <v>1.3773131798276593E-2</v>
      </c>
      <c r="D204" s="3">
        <f t="shared" si="37"/>
        <v>1.3679144237245722E-2</v>
      </c>
      <c r="E204" s="7">
        <f t="shared" si="38"/>
        <v>1.0136791442372457</v>
      </c>
      <c r="F204">
        <f t="shared" si="39"/>
        <v>4.048582995951417E-3</v>
      </c>
      <c r="G204" s="9">
        <f t="shared" si="40"/>
        <v>5.5381150758079845E-5</v>
      </c>
      <c r="H204" s="13">
        <f t="shared" si="41"/>
        <v>6.6718476839184502E-7</v>
      </c>
      <c r="J204">
        <v>303.60000000000002</v>
      </c>
      <c r="K204" s="3">
        <f t="shared" si="42"/>
        <v>-1.4226386611577272E-2</v>
      </c>
      <c r="L204">
        <f t="shared" si="43"/>
        <v>-5.7596706929462643E-5</v>
      </c>
      <c r="M204">
        <f t="shared" si="44"/>
        <v>7.3983760674921275E-7</v>
      </c>
      <c r="O204" s="2">
        <v>1466.15</v>
      </c>
      <c r="P204" s="3">
        <f t="shared" si="45"/>
        <v>7.290433262679274E-3</v>
      </c>
      <c r="Q204">
        <f t="shared" si="46"/>
        <v>2.951592414040192E-5</v>
      </c>
      <c r="R204">
        <f t="shared" si="47"/>
        <v>2.718433902764545E-7</v>
      </c>
    </row>
    <row r="205" spans="1:18" x14ac:dyDescent="0.25">
      <c r="A205" s="1">
        <v>45684</v>
      </c>
      <c r="B205" s="2">
        <v>2831.6</v>
      </c>
      <c r="C205" s="3">
        <f t="shared" si="36"/>
        <v>1.0780324123652395E-2</v>
      </c>
      <c r="D205" s="3">
        <f t="shared" si="37"/>
        <v>1.0722630695087757E-2</v>
      </c>
      <c r="E205" s="7">
        <f t="shared" si="38"/>
        <v>1.0107226306950878</v>
      </c>
      <c r="F205">
        <f t="shared" si="39"/>
        <v>4.048582995951417E-3</v>
      </c>
      <c r="G205" s="9">
        <f t="shared" si="40"/>
        <v>4.3411460303999013E-5</v>
      </c>
      <c r="H205" s="13">
        <f t="shared" si="41"/>
        <v>3.9525782888343002E-7</v>
      </c>
      <c r="J205">
        <v>307.95</v>
      </c>
      <c r="K205" s="3">
        <f t="shared" si="42"/>
        <v>-3.8696014842765171E-2</v>
      </c>
      <c r="L205">
        <f t="shared" si="43"/>
        <v>-1.5666402770350273E-4</v>
      </c>
      <c r="M205">
        <f t="shared" si="44"/>
        <v>5.8423883255710248E-6</v>
      </c>
      <c r="O205" s="2">
        <v>1455.5</v>
      </c>
      <c r="P205" s="3">
        <f t="shared" si="45"/>
        <v>-9.7088141269609379E-3</v>
      </c>
      <c r="Q205">
        <f t="shared" si="46"/>
        <v>-3.9306939785266954E-5</v>
      </c>
      <c r="R205">
        <f t="shared" si="47"/>
        <v>3.1388026590321395E-7</v>
      </c>
    </row>
    <row r="206" spans="1:18" x14ac:dyDescent="0.25">
      <c r="A206" s="1">
        <v>45681</v>
      </c>
      <c r="B206" s="2">
        <v>2801.4</v>
      </c>
      <c r="C206" s="3">
        <f t="shared" si="36"/>
        <v>-2.9465260094579754E-2</v>
      </c>
      <c r="D206" s="3">
        <f t="shared" si="37"/>
        <v>-2.990808112973125E-2</v>
      </c>
      <c r="E206" s="7">
        <f t="shared" si="38"/>
        <v>0.9700919188702688</v>
      </c>
      <c r="F206">
        <f t="shared" si="39"/>
        <v>4.048582995951417E-3</v>
      </c>
      <c r="G206" s="9">
        <f t="shared" si="40"/>
        <v>-1.2108534870336539E-4</v>
      </c>
      <c r="H206" s="13">
        <f t="shared" si="41"/>
        <v>3.828185517807789E-6</v>
      </c>
      <c r="J206">
        <v>320.10000000000002</v>
      </c>
      <c r="K206" s="3">
        <f t="shared" si="42"/>
        <v>7.5259057003469665E-3</v>
      </c>
      <c r="L206">
        <f t="shared" si="43"/>
        <v>3.046925384755857E-5</v>
      </c>
      <c r="M206">
        <f t="shared" si="44"/>
        <v>2.7449958874282494E-7</v>
      </c>
      <c r="O206" s="2">
        <v>1469.7</v>
      </c>
      <c r="P206" s="3">
        <f t="shared" si="45"/>
        <v>3.1412938952133783E-2</v>
      </c>
      <c r="Q206">
        <f t="shared" si="46"/>
        <v>1.2717789049446876E-4</v>
      </c>
      <c r="R206">
        <f t="shared" si="47"/>
        <v>4.2282229108487362E-6</v>
      </c>
    </row>
    <row r="207" spans="1:18" x14ac:dyDescent="0.25">
      <c r="A207" s="1">
        <v>45680</v>
      </c>
      <c r="B207" s="2">
        <v>2886.45</v>
      </c>
      <c r="C207" s="3">
        <f t="shared" si="36"/>
        <v>2.1228042243804066E-2</v>
      </c>
      <c r="D207" s="3">
        <f t="shared" si="37"/>
        <v>2.1005866098068537E-2</v>
      </c>
      <c r="E207" s="7">
        <f t="shared" si="38"/>
        <v>1.0210058660980685</v>
      </c>
      <c r="F207">
        <f t="shared" si="39"/>
        <v>4.048582995951417E-3</v>
      </c>
      <c r="G207" s="9">
        <f t="shared" si="40"/>
        <v>8.504399229987262E-5</v>
      </c>
      <c r="H207" s="13">
        <f t="shared" si="41"/>
        <v>1.6460939749269043E-6</v>
      </c>
      <c r="J207">
        <v>317.7</v>
      </c>
      <c r="K207" s="3">
        <f t="shared" si="42"/>
        <v>2.7442692137399794E-2</v>
      </c>
      <c r="L207">
        <f t="shared" si="43"/>
        <v>1.1110401675060646E-4</v>
      </c>
      <c r="M207">
        <f t="shared" si="44"/>
        <v>3.2084040930779846E-6</v>
      </c>
      <c r="O207" s="2">
        <v>1424.25</v>
      </c>
      <c r="P207" s="3">
        <f t="shared" si="45"/>
        <v>2.4341612235767557E-2</v>
      </c>
      <c r="Q207">
        <f t="shared" si="46"/>
        <v>9.854903739177149E-5</v>
      </c>
      <c r="R207">
        <f t="shared" si="47"/>
        <v>2.5802850341133125E-6</v>
      </c>
    </row>
    <row r="208" spans="1:18" x14ac:dyDescent="0.25">
      <c r="A208" s="1">
        <v>45679</v>
      </c>
      <c r="B208" s="2">
        <v>2826.45</v>
      </c>
      <c r="C208" s="3">
        <f t="shared" si="36"/>
        <v>1.8253996384644086E-3</v>
      </c>
      <c r="D208" s="3">
        <f t="shared" si="37"/>
        <v>1.823735621234353E-3</v>
      </c>
      <c r="E208" s="7">
        <f t="shared" si="38"/>
        <v>1.0018237356212343</v>
      </c>
      <c r="F208">
        <f t="shared" si="39"/>
        <v>4.048582995951417E-3</v>
      </c>
      <c r="G208" s="9">
        <f t="shared" si="40"/>
        <v>7.3835450252402955E-6</v>
      </c>
      <c r="H208" s="13">
        <f t="shared" si="41"/>
        <v>3.9027763229748812E-9</v>
      </c>
      <c r="J208">
        <v>309.10000000000002</v>
      </c>
      <c r="K208" s="3">
        <f t="shared" si="42"/>
        <v>3.5397555169979673E-2</v>
      </c>
      <c r="L208">
        <f t="shared" si="43"/>
        <v>1.4330993995943187E-4</v>
      </c>
      <c r="M208">
        <f t="shared" si="44"/>
        <v>5.2778522688456523E-6</v>
      </c>
      <c r="O208" s="2">
        <v>1390</v>
      </c>
      <c r="P208" s="3">
        <f t="shared" si="45"/>
        <v>-3.3914741037142586E-2</v>
      </c>
      <c r="Q208">
        <f t="shared" si="46"/>
        <v>-1.373066438750712E-4</v>
      </c>
      <c r="R208">
        <f t="shared" si="47"/>
        <v>4.4118331888857808E-6</v>
      </c>
    </row>
    <row r="209" spans="1:18" x14ac:dyDescent="0.25">
      <c r="A209" s="1">
        <v>45678</v>
      </c>
      <c r="B209" s="2">
        <v>2821.3</v>
      </c>
      <c r="C209" s="3">
        <f t="shared" si="36"/>
        <v>-2.3129393026557157E-2</v>
      </c>
      <c r="D209" s="3">
        <f t="shared" si="37"/>
        <v>-2.340107483665569E-2</v>
      </c>
      <c r="E209" s="7">
        <f t="shared" si="38"/>
        <v>0.97659892516334434</v>
      </c>
      <c r="F209">
        <f t="shared" si="39"/>
        <v>4.048582995951417E-3</v>
      </c>
      <c r="G209" s="9">
        <f t="shared" si="40"/>
        <v>-9.4741193670670816E-5</v>
      </c>
      <c r="H209" s="13">
        <f t="shared" si="41"/>
        <v>2.3794421459673857E-6</v>
      </c>
      <c r="J209">
        <v>298.35000000000002</v>
      </c>
      <c r="K209" s="3">
        <f t="shared" si="42"/>
        <v>-6.3481669920019907E-3</v>
      </c>
      <c r="L209">
        <f t="shared" si="43"/>
        <v>-2.5701080939279313E-5</v>
      </c>
      <c r="M209">
        <f t="shared" si="44"/>
        <v>1.2877979769537355E-7</v>
      </c>
      <c r="O209" s="2">
        <v>1437.95</v>
      </c>
      <c r="P209" s="3">
        <f t="shared" si="45"/>
        <v>-3.0814858966001481E-2</v>
      </c>
      <c r="Q209">
        <f t="shared" si="46"/>
        <v>-1.2475651403239465E-4</v>
      </c>
      <c r="R209">
        <f t="shared" si="47"/>
        <v>3.622153702373535E-6</v>
      </c>
    </row>
    <row r="210" spans="1:18" x14ac:dyDescent="0.25">
      <c r="A210" s="1">
        <v>45677</v>
      </c>
      <c r="B210" s="2">
        <v>2888.1</v>
      </c>
      <c r="C210" s="3">
        <f t="shared" si="36"/>
        <v>-1.0026222427888323E-2</v>
      </c>
      <c r="D210" s="3">
        <f t="shared" si="37"/>
        <v>-1.0076823505193473E-2</v>
      </c>
      <c r="E210" s="7">
        <f t="shared" si="38"/>
        <v>0.98992317649480654</v>
      </c>
      <c r="F210">
        <f t="shared" si="39"/>
        <v>4.048582995951417E-3</v>
      </c>
      <c r="G210" s="9">
        <f t="shared" si="40"/>
        <v>-4.079685629632985E-5</v>
      </c>
      <c r="H210" s="13">
        <f t="shared" si="41"/>
        <v>4.8266677990237864E-7</v>
      </c>
      <c r="J210">
        <v>300.25</v>
      </c>
      <c r="K210" s="3">
        <f t="shared" si="42"/>
        <v>6.2885710706901798E-2</v>
      </c>
      <c r="L210">
        <f t="shared" si="43"/>
        <v>2.5459801905628257E-4</v>
      </c>
      <c r="M210">
        <f t="shared" si="44"/>
        <v>1.6373248758242951E-5</v>
      </c>
      <c r="O210" s="2">
        <v>1482.95</v>
      </c>
      <c r="P210" s="3">
        <f t="shared" si="45"/>
        <v>4.0203435965016883E-3</v>
      </c>
      <c r="Q210">
        <f t="shared" si="46"/>
        <v>1.6276694722678902E-5</v>
      </c>
      <c r="R210">
        <f t="shared" si="47"/>
        <v>9.8166417849688459E-8</v>
      </c>
    </row>
    <row r="211" spans="1:18" x14ac:dyDescent="0.25">
      <c r="A211" s="1">
        <v>45674</v>
      </c>
      <c r="B211" s="2">
        <v>2917.35</v>
      </c>
      <c r="C211" s="3">
        <f t="shared" si="36"/>
        <v>-2.1220559618868685E-2</v>
      </c>
      <c r="D211" s="3">
        <f t="shared" si="37"/>
        <v>-2.1448952557468367E-2</v>
      </c>
      <c r="E211" s="7">
        <f t="shared" si="38"/>
        <v>0.97855104744253163</v>
      </c>
      <c r="F211">
        <f t="shared" si="39"/>
        <v>4.048582995951417E-3</v>
      </c>
      <c r="G211" s="9">
        <f t="shared" si="40"/>
        <v>-8.6837864605135095E-5</v>
      </c>
      <c r="H211" s="13">
        <f t="shared" si="41"/>
        <v>2.0116698711447569E-6</v>
      </c>
      <c r="J211">
        <v>281.95</v>
      </c>
      <c r="K211" s="3">
        <f t="shared" si="42"/>
        <v>-2.1404325925201119E-2</v>
      </c>
      <c r="L211">
        <f t="shared" si="43"/>
        <v>-8.6657189980571335E-5</v>
      </c>
      <c r="M211">
        <f t="shared" si="44"/>
        <v>1.7341188738628837E-6</v>
      </c>
      <c r="O211" s="2">
        <v>1477</v>
      </c>
      <c r="P211" s="3">
        <f t="shared" si="45"/>
        <v>-1.0607052895722004E-2</v>
      </c>
      <c r="Q211">
        <f t="shared" si="46"/>
        <v>-4.2943533990777342E-5</v>
      </c>
      <c r="R211">
        <f t="shared" si="47"/>
        <v>3.8118738524961153E-7</v>
      </c>
    </row>
    <row r="212" spans="1:18" x14ac:dyDescent="0.25">
      <c r="A212" s="1">
        <v>45673</v>
      </c>
      <c r="B212" s="2">
        <v>2980.6</v>
      </c>
      <c r="C212" s="3">
        <f t="shared" si="36"/>
        <v>6.8744193902541707E-3</v>
      </c>
      <c r="D212" s="3">
        <f t="shared" si="37"/>
        <v>6.8508983036261427E-3</v>
      </c>
      <c r="E212" s="7">
        <f t="shared" si="38"/>
        <v>1.0068508983036262</v>
      </c>
      <c r="F212">
        <f t="shared" si="39"/>
        <v>4.048582995951417E-3</v>
      </c>
      <c r="G212" s="9">
        <f t="shared" si="40"/>
        <v>2.773643037905321E-5</v>
      </c>
      <c r="H212" s="13">
        <f t="shared" si="41"/>
        <v>1.4618609775603817E-7</v>
      </c>
      <c r="J212">
        <v>288.05</v>
      </c>
      <c r="K212" s="3">
        <f t="shared" si="42"/>
        <v>-1.5843279558837665E-2</v>
      </c>
      <c r="L212">
        <f t="shared" si="43"/>
        <v>-6.4142832222014836E-5</v>
      </c>
      <c r="M212">
        <f t="shared" si="44"/>
        <v>9.2740476026342864E-7</v>
      </c>
      <c r="O212" s="2">
        <v>1492.75</v>
      </c>
      <c r="P212" s="3">
        <f t="shared" si="45"/>
        <v>4.9188836829286063E-2</v>
      </c>
      <c r="Q212">
        <f t="shared" si="46"/>
        <v>1.9914508837767637E-4</v>
      </c>
      <c r="R212">
        <f t="shared" si="47"/>
        <v>1.0158993523580583E-5</v>
      </c>
    </row>
    <row r="213" spans="1:18" x14ac:dyDescent="0.25">
      <c r="A213" s="1">
        <v>45672</v>
      </c>
      <c r="B213" s="2">
        <v>2960.25</v>
      </c>
      <c r="C213" s="3">
        <f t="shared" si="36"/>
        <v>-2.9267092966060011E-2</v>
      </c>
      <c r="D213" s="3">
        <f t="shared" si="37"/>
        <v>-2.9703918525444826E-2</v>
      </c>
      <c r="E213" s="7">
        <f t="shared" si="38"/>
        <v>0.97029608147455515</v>
      </c>
      <c r="F213">
        <f t="shared" si="39"/>
        <v>4.048582995951417E-3</v>
      </c>
      <c r="G213" s="9">
        <f t="shared" si="40"/>
        <v>-1.2025877945524221E-4</v>
      </c>
      <c r="H213" s="13">
        <f t="shared" si="41"/>
        <v>3.777520281779228E-6</v>
      </c>
      <c r="J213">
        <v>292.64999999999998</v>
      </c>
      <c r="K213" s="3">
        <f t="shared" si="42"/>
        <v>-6.8317679856148849E-4</v>
      </c>
      <c r="L213">
        <f t="shared" si="43"/>
        <v>-2.765897969884569E-6</v>
      </c>
      <c r="M213">
        <f t="shared" si="44"/>
        <v>2.5461698180300374E-12</v>
      </c>
      <c r="O213" s="2">
        <v>1421.1</v>
      </c>
      <c r="P213" s="3">
        <f t="shared" si="45"/>
        <v>3.0725480716716651E-2</v>
      </c>
      <c r="Q213">
        <f t="shared" si="46"/>
        <v>1.243946587721322E-4</v>
      </c>
      <c r="R213">
        <f t="shared" si="47"/>
        <v>4.0502463684048939E-6</v>
      </c>
    </row>
    <row r="214" spans="1:18" x14ac:dyDescent="0.25">
      <c r="A214" s="1">
        <v>45671</v>
      </c>
      <c r="B214" s="2">
        <v>3049.5</v>
      </c>
      <c r="C214" s="3">
        <f t="shared" si="36"/>
        <v>1.6618605503975432E-2</v>
      </c>
      <c r="D214" s="3">
        <f t="shared" si="37"/>
        <v>1.6482027559015823E-2</v>
      </c>
      <c r="E214" s="7">
        <f t="shared" si="38"/>
        <v>1.0164820275590158</v>
      </c>
      <c r="F214">
        <f t="shared" si="39"/>
        <v>4.048582995951417E-3</v>
      </c>
      <c r="G214" s="9">
        <f t="shared" si="40"/>
        <v>6.6728856514234106E-5</v>
      </c>
      <c r="H214" s="13">
        <f t="shared" si="41"/>
        <v>9.9033742584744714E-7</v>
      </c>
      <c r="J214">
        <v>292.85000000000002</v>
      </c>
      <c r="K214" s="3">
        <f t="shared" si="42"/>
        <v>3.4205608859911693E-3</v>
      </c>
      <c r="L214">
        <f t="shared" si="43"/>
        <v>1.3848424639640362E-5</v>
      </c>
      <c r="M214">
        <f t="shared" si="44"/>
        <v>6.9016674513578149E-8</v>
      </c>
      <c r="O214" s="2">
        <v>1378.1</v>
      </c>
      <c r="P214" s="3">
        <f t="shared" si="45"/>
        <v>5.0869459592769929E-2</v>
      </c>
      <c r="Q214">
        <f t="shared" si="46"/>
        <v>2.0594922912052602E-4</v>
      </c>
      <c r="R214">
        <f t="shared" si="47"/>
        <v>1.0852103302349358E-5</v>
      </c>
    </row>
    <row r="215" spans="1:18" x14ac:dyDescent="0.25">
      <c r="A215" s="1">
        <v>45670</v>
      </c>
      <c r="B215" s="2">
        <v>2999.65</v>
      </c>
      <c r="C215" s="3">
        <f t="shared" si="36"/>
        <v>-3.0134018785262725E-2</v>
      </c>
      <c r="D215" s="3">
        <f t="shared" si="37"/>
        <v>-3.0597380726338334E-2</v>
      </c>
      <c r="E215" s="7">
        <f t="shared" si="38"/>
        <v>0.96940261927366167</v>
      </c>
      <c r="F215">
        <f t="shared" si="39"/>
        <v>4.048582995951417E-3</v>
      </c>
      <c r="G215" s="9">
        <f t="shared" si="40"/>
        <v>-1.23876035329305E-4</v>
      </c>
      <c r="H215" s="13">
        <f t="shared" si="41"/>
        <v>4.0017363030188882E-6</v>
      </c>
      <c r="J215">
        <v>291.85000000000002</v>
      </c>
      <c r="K215" s="3">
        <f t="shared" si="42"/>
        <v>-2.9374157835370972E-2</v>
      </c>
      <c r="L215">
        <f t="shared" si="43"/>
        <v>-1.18923715932676E-4</v>
      </c>
      <c r="M215">
        <f t="shared" si="44"/>
        <v>3.3268582970070059E-6</v>
      </c>
      <c r="O215" s="2">
        <v>1309.75</v>
      </c>
      <c r="P215" s="3">
        <f t="shared" si="45"/>
        <v>-3.6360827143303312E-2</v>
      </c>
      <c r="Q215">
        <f t="shared" si="46"/>
        <v>-1.4720982649110652E-4</v>
      </c>
      <c r="R215">
        <f t="shared" si="47"/>
        <v>5.0898841519730155E-6</v>
      </c>
    </row>
    <row r="216" spans="1:18" x14ac:dyDescent="0.25">
      <c r="A216" s="1">
        <v>45667</v>
      </c>
      <c r="B216" s="2">
        <v>3092.85</v>
      </c>
      <c r="C216" s="3">
        <f t="shared" si="36"/>
        <v>-1.0762833839756946E-2</v>
      </c>
      <c r="D216" s="3">
        <f t="shared" si="37"/>
        <v>-1.0821172103519046E-2</v>
      </c>
      <c r="E216" s="7">
        <f t="shared" si="38"/>
        <v>0.98917882789648093</v>
      </c>
      <c r="F216">
        <f t="shared" si="39"/>
        <v>4.048582995951417E-3</v>
      </c>
      <c r="G216" s="9">
        <f t="shared" si="40"/>
        <v>-4.3810413374571039E-5</v>
      </c>
      <c r="H216" s="13">
        <f t="shared" si="41"/>
        <v>5.5071835727446045E-7</v>
      </c>
      <c r="J216">
        <v>300.55</v>
      </c>
      <c r="K216" s="3">
        <f t="shared" si="42"/>
        <v>2.7833457367970896E-2</v>
      </c>
      <c r="L216">
        <f t="shared" si="43"/>
        <v>1.1268606221850566E-4</v>
      </c>
      <c r="M216">
        <f t="shared" si="44"/>
        <v>3.2980944573393035E-6</v>
      </c>
      <c r="O216" s="2">
        <v>1358.25</v>
      </c>
      <c r="P216" s="3">
        <f t="shared" si="45"/>
        <v>-4.0791071899693047E-2</v>
      </c>
      <c r="Q216">
        <f t="shared" si="46"/>
        <v>-1.6514604007972894E-4</v>
      </c>
      <c r="R216">
        <f t="shared" si="47"/>
        <v>6.4412759017245852E-6</v>
      </c>
    </row>
    <row r="217" spans="1:18" x14ac:dyDescent="0.25">
      <c r="A217" s="1">
        <v>45666</v>
      </c>
      <c r="B217" s="2">
        <v>3126.5</v>
      </c>
      <c r="C217" s="3">
        <f t="shared" si="36"/>
        <v>1.3090956223064739E-2</v>
      </c>
      <c r="D217" s="3">
        <f t="shared" si="37"/>
        <v>1.3006010202258627E-2</v>
      </c>
      <c r="E217" s="7">
        <f t="shared" si="38"/>
        <v>1.0130060102022587</v>
      </c>
      <c r="F217">
        <f t="shared" si="39"/>
        <v>4.048582995951417E-3</v>
      </c>
      <c r="G217" s="9">
        <f t="shared" si="40"/>
        <v>5.2655911750034924E-5</v>
      </c>
      <c r="H217" s="13">
        <f t="shared" si="41"/>
        <v>5.9905014486276055E-7</v>
      </c>
      <c r="J217">
        <v>292.3</v>
      </c>
      <c r="K217" s="3">
        <f t="shared" si="42"/>
        <v>-1.7801605973660789E-2</v>
      </c>
      <c r="L217">
        <f t="shared" si="43"/>
        <v>-7.2071279245590242E-5</v>
      </c>
      <c r="M217">
        <f t="shared" si="44"/>
        <v>1.182925732199157E-6</v>
      </c>
      <c r="O217" s="2">
        <v>1414.8</v>
      </c>
      <c r="P217" s="3">
        <f t="shared" si="45"/>
        <v>-1.3793322132335873E-2</v>
      </c>
      <c r="Q217">
        <f t="shared" si="46"/>
        <v>-5.5843409442655359E-5</v>
      </c>
      <c r="R217">
        <f t="shared" si="47"/>
        <v>6.7263159176948238E-7</v>
      </c>
    </row>
    <row r="218" spans="1:18" x14ac:dyDescent="0.25">
      <c r="A218" s="1">
        <v>45665</v>
      </c>
      <c r="B218" s="2">
        <v>3086.1</v>
      </c>
      <c r="C218" s="3">
        <f t="shared" si="36"/>
        <v>-7.3178184859353139E-3</v>
      </c>
      <c r="D218" s="3">
        <f t="shared" si="37"/>
        <v>-7.3447250649677767E-3</v>
      </c>
      <c r="E218" s="7">
        <f t="shared" si="38"/>
        <v>0.99265527493503225</v>
      </c>
      <c r="F218">
        <f t="shared" si="39"/>
        <v>4.048582995951417E-3</v>
      </c>
      <c r="G218" s="9">
        <f t="shared" si="40"/>
        <v>-2.9735729007966707E-5</v>
      </c>
      <c r="H218" s="13">
        <f t="shared" si="41"/>
        <v>2.7133991358759088E-7</v>
      </c>
      <c r="J218">
        <v>297.55</v>
      </c>
      <c r="K218" s="3">
        <f t="shared" si="42"/>
        <v>1.1832457184896042E-2</v>
      </c>
      <c r="L218">
        <f t="shared" si="43"/>
        <v>4.790468495909329E-5</v>
      </c>
      <c r="M218">
        <f t="shared" si="44"/>
        <v>6.3671844527293559E-7</v>
      </c>
      <c r="O218" s="2">
        <v>1434.45</v>
      </c>
      <c r="P218" s="3">
        <f t="shared" si="45"/>
        <v>-1.319294053526923E-2</v>
      </c>
      <c r="Q218">
        <f t="shared" si="46"/>
        <v>-5.3412714717689189E-5</v>
      </c>
      <c r="R218">
        <f t="shared" si="47"/>
        <v>6.1142990730785714E-7</v>
      </c>
    </row>
    <row r="219" spans="1:18" x14ac:dyDescent="0.25">
      <c r="A219" s="1">
        <v>45664</v>
      </c>
      <c r="B219" s="2">
        <v>3108.85</v>
      </c>
      <c r="C219" s="3">
        <f t="shared" si="36"/>
        <v>1.0142640950510646E-3</v>
      </c>
      <c r="D219" s="3">
        <f t="shared" si="37"/>
        <v>1.0137500767612572E-3</v>
      </c>
      <c r="E219" s="7">
        <f t="shared" si="38"/>
        <v>1.0010137500767613</v>
      </c>
      <c r="F219">
        <f t="shared" si="39"/>
        <v>4.048582995951417E-3</v>
      </c>
      <c r="G219" s="9">
        <f t="shared" si="40"/>
        <v>4.1042513229200693E-6</v>
      </c>
      <c r="H219" s="13">
        <f t="shared" si="41"/>
        <v>1.1955363276987697E-10</v>
      </c>
      <c r="J219">
        <v>294.05</v>
      </c>
      <c r="K219" s="3">
        <f t="shared" si="42"/>
        <v>-8.4983433346207257E-4</v>
      </c>
      <c r="L219">
        <f t="shared" si="43"/>
        <v>-3.4406248318302533E-6</v>
      </c>
      <c r="M219">
        <f t="shared" si="44"/>
        <v>8.1152942422042532E-11</v>
      </c>
      <c r="O219" s="2">
        <v>1453.5</v>
      </c>
      <c r="P219" s="3">
        <f t="shared" si="45"/>
        <v>-1.2205905679503623E-2</v>
      </c>
      <c r="Q219">
        <f t="shared" si="46"/>
        <v>-4.9416622184225198E-5</v>
      </c>
      <c r="R219">
        <f t="shared" si="47"/>
        <v>5.1715703551424196E-7</v>
      </c>
    </row>
    <row r="220" spans="1:18" x14ac:dyDescent="0.25">
      <c r="A220" s="1">
        <v>45663</v>
      </c>
      <c r="B220" s="2">
        <v>3105.7</v>
      </c>
      <c r="C220" s="3">
        <f t="shared" si="36"/>
        <v>-2.6594160881352857E-2</v>
      </c>
      <c r="D220" s="3">
        <f t="shared" si="37"/>
        <v>-2.6954182917143351E-2</v>
      </c>
      <c r="E220" s="7">
        <f t="shared" si="38"/>
        <v>0.97304581708285665</v>
      </c>
      <c r="F220">
        <f t="shared" si="39"/>
        <v>4.048582995951417E-3</v>
      </c>
      <c r="G220" s="9">
        <f t="shared" si="40"/>
        <v>-1.0912624662811073E-4</v>
      </c>
      <c r="H220" s="13">
        <f t="shared" si="41"/>
        <v>3.1280269737580939E-6</v>
      </c>
      <c r="J220">
        <v>294.3</v>
      </c>
      <c r="K220" s="3">
        <f t="shared" si="42"/>
        <v>-5.0955415115256383E-4</v>
      </c>
      <c r="L220">
        <f t="shared" si="43"/>
        <v>-2.062972271872728E-6</v>
      </c>
      <c r="M220">
        <f t="shared" si="44"/>
        <v>1.5984587179427805E-10</v>
      </c>
      <c r="O220" s="2">
        <v>1471.35</v>
      </c>
      <c r="P220" s="3">
        <f t="shared" si="45"/>
        <v>-2.8211466228388007E-2</v>
      </c>
      <c r="Q220">
        <f t="shared" si="46"/>
        <v>-1.1421646246310934E-4</v>
      </c>
      <c r="R220">
        <f t="shared" si="47"/>
        <v>3.0190652062614077E-6</v>
      </c>
    </row>
    <row r="221" spans="1:18" x14ac:dyDescent="0.25">
      <c r="A221" s="1">
        <v>45660</v>
      </c>
      <c r="B221" s="2">
        <v>3190.55</v>
      </c>
      <c r="C221" s="3">
        <f t="shared" si="36"/>
        <v>-6.3996761234467094E-3</v>
      </c>
      <c r="D221" s="3">
        <f t="shared" si="37"/>
        <v>-6.4202418402612036E-3</v>
      </c>
      <c r="E221" s="7">
        <f t="shared" si="38"/>
        <v>0.99357975815973876</v>
      </c>
      <c r="F221">
        <f t="shared" si="39"/>
        <v>4.048582995951417E-3</v>
      </c>
      <c r="G221" s="9">
        <f t="shared" si="40"/>
        <v>-2.5992881944377343E-5</v>
      </c>
      <c r="H221" s="13">
        <f t="shared" si="41"/>
        <v>2.1351748289907909E-7</v>
      </c>
      <c r="J221">
        <v>294.45</v>
      </c>
      <c r="K221" s="3">
        <f t="shared" si="42"/>
        <v>-3.1260380771092784E-2</v>
      </c>
      <c r="L221">
        <f t="shared" si="43"/>
        <v>-1.2656024603681289E-4</v>
      </c>
      <c r="M221">
        <f t="shared" si="44"/>
        <v>3.7790785588958219E-6</v>
      </c>
      <c r="O221" s="2">
        <v>1513.45</v>
      </c>
      <c r="P221" s="3">
        <f t="shared" si="45"/>
        <v>-1.6416102855274166E-2</v>
      </c>
      <c r="Q221">
        <f t="shared" si="46"/>
        <v>-6.6461954879652493E-5</v>
      </c>
      <c r="R221">
        <f t="shared" si="47"/>
        <v>9.7421784408271474E-7</v>
      </c>
    </row>
    <row r="222" spans="1:18" x14ac:dyDescent="0.25">
      <c r="A222" s="1">
        <v>45659</v>
      </c>
      <c r="B222" s="2">
        <v>3211.1</v>
      </c>
      <c r="C222" s="3">
        <f t="shared" si="36"/>
        <v>4.1888384166125864E-2</v>
      </c>
      <c r="D222" s="3">
        <f t="shared" si="37"/>
        <v>4.1034820670644151E-2</v>
      </c>
      <c r="E222" s="7">
        <f t="shared" si="38"/>
        <v>1.0410348206706441</v>
      </c>
      <c r="F222">
        <f t="shared" si="39"/>
        <v>4.048582995951417E-3</v>
      </c>
      <c r="G222" s="9">
        <f t="shared" si="40"/>
        <v>1.6613287720908563E-4</v>
      </c>
      <c r="H222" s="13">
        <f t="shared" si="41"/>
        <v>6.54036534479725E-6</v>
      </c>
      <c r="J222">
        <v>303.8</v>
      </c>
      <c r="K222" s="3">
        <f t="shared" si="42"/>
        <v>1.1587615172387829E-2</v>
      </c>
      <c r="L222">
        <f t="shared" si="43"/>
        <v>4.691342175055801E-5</v>
      </c>
      <c r="M222">
        <f t="shared" si="44"/>
        <v>6.1209885544030754E-7</v>
      </c>
      <c r="O222" s="2">
        <v>1538.5</v>
      </c>
      <c r="P222" s="3">
        <f t="shared" si="45"/>
        <v>2.9183507057732868E-2</v>
      </c>
      <c r="Q222">
        <f t="shared" si="46"/>
        <v>1.1815185043616546E-4</v>
      </c>
      <c r="R222">
        <f t="shared" si="47"/>
        <v>3.6649616474786019E-6</v>
      </c>
    </row>
    <row r="223" spans="1:18" x14ac:dyDescent="0.25">
      <c r="A223" s="1">
        <v>45658</v>
      </c>
      <c r="B223" s="2">
        <v>3082</v>
      </c>
      <c r="C223" s="3">
        <f t="shared" si="36"/>
        <v>2.4907718399787202E-2</v>
      </c>
      <c r="D223" s="3">
        <f t="shared" si="37"/>
        <v>2.460257770787723E-2</v>
      </c>
      <c r="E223" s="7">
        <f t="shared" si="38"/>
        <v>1.0246025777078773</v>
      </c>
      <c r="F223">
        <f t="shared" si="39"/>
        <v>4.048582995951417E-3</v>
      </c>
      <c r="G223" s="9">
        <f t="shared" si="40"/>
        <v>9.960557776468514E-5</v>
      </c>
      <c r="H223" s="13">
        <f t="shared" si="41"/>
        <v>2.2857062007963342E-6</v>
      </c>
      <c r="J223">
        <v>300.3</v>
      </c>
      <c r="K223" s="3">
        <f t="shared" si="42"/>
        <v>-5.148230253150564E-3</v>
      </c>
      <c r="L223">
        <f t="shared" si="43"/>
        <v>-2.0843037462148032E-5</v>
      </c>
      <c r="M223">
        <f t="shared" si="44"/>
        <v>7.9811264842295866E-8</v>
      </c>
      <c r="O223" s="2">
        <v>1494.25</v>
      </c>
      <c r="P223" s="3">
        <f t="shared" si="45"/>
        <v>5.5701103682494636E-3</v>
      </c>
      <c r="Q223">
        <f t="shared" si="46"/>
        <v>2.2551054122467465E-5</v>
      </c>
      <c r="R223">
        <f t="shared" si="47"/>
        <v>1.6968179663894599E-7</v>
      </c>
    </row>
    <row r="224" spans="1:18" x14ac:dyDescent="0.25">
      <c r="A224" s="1">
        <v>45657</v>
      </c>
      <c r="B224" s="2">
        <v>3007.1</v>
      </c>
      <c r="C224" s="3">
        <f t="shared" si="36"/>
        <v>1.3986479736254347E-3</v>
      </c>
      <c r="D224" s="3">
        <f t="shared" si="37"/>
        <v>1.3976707766119971E-3</v>
      </c>
      <c r="E224" s="7">
        <f t="shared" si="38"/>
        <v>1.0013976707766119</v>
      </c>
      <c r="F224">
        <f t="shared" si="39"/>
        <v>4.048582995951417E-3</v>
      </c>
      <c r="G224" s="9">
        <f t="shared" si="40"/>
        <v>5.6585861401295431E-6</v>
      </c>
      <c r="H224" s="13">
        <f t="shared" si="41"/>
        <v>1.2504956232393506E-9</v>
      </c>
      <c r="J224">
        <v>301.85000000000002</v>
      </c>
      <c r="K224" s="3">
        <f t="shared" si="42"/>
        <v>-6.1101668092677693E-3</v>
      </c>
      <c r="L224">
        <f t="shared" si="43"/>
        <v>-2.4737517446428215E-5</v>
      </c>
      <c r="M224">
        <f t="shared" si="44"/>
        <v>1.1814029891559397E-7</v>
      </c>
      <c r="O224" s="2">
        <v>1485.95</v>
      </c>
      <c r="P224" s="3">
        <f t="shared" si="45"/>
        <v>5.2961171138648726E-2</v>
      </c>
      <c r="Q224">
        <f t="shared" si="46"/>
        <v>2.1441769691760617E-4</v>
      </c>
      <c r="R224">
        <f t="shared" si="47"/>
        <v>1.1746697111342881E-5</v>
      </c>
    </row>
    <row r="225" spans="1:18" x14ac:dyDescent="0.25">
      <c r="A225" s="1">
        <v>45656</v>
      </c>
      <c r="B225" s="2">
        <v>3002.9</v>
      </c>
      <c r="C225" s="3">
        <f t="shared" si="36"/>
        <v>-1.5265047795504019E-2</v>
      </c>
      <c r="D225" s="3">
        <f t="shared" si="37"/>
        <v>-1.5382758076007837E-2</v>
      </c>
      <c r="E225" s="7">
        <f t="shared" si="38"/>
        <v>0.98461724192399214</v>
      </c>
      <c r="F225">
        <f t="shared" si="39"/>
        <v>4.048582995951417E-3</v>
      </c>
      <c r="G225" s="9">
        <f t="shared" si="40"/>
        <v>-6.2278372777359669E-5</v>
      </c>
      <c r="H225" s="13">
        <f t="shared" si="41"/>
        <v>1.0657481164001838E-6</v>
      </c>
      <c r="J225">
        <v>303.7</v>
      </c>
      <c r="K225" s="3">
        <f t="shared" si="42"/>
        <v>-1.7624477086367617E-2</v>
      </c>
      <c r="L225">
        <f t="shared" si="43"/>
        <v>-7.1354158244403307E-5</v>
      </c>
      <c r="M225">
        <f t="shared" si="44"/>
        <v>1.1585367527663335E-6</v>
      </c>
      <c r="O225" s="2">
        <v>1409.3</v>
      </c>
      <c r="P225" s="3">
        <f t="shared" si="45"/>
        <v>-2.9469929550238326E-2</v>
      </c>
      <c r="Q225">
        <f t="shared" si="46"/>
        <v>-1.1931145566898107E-4</v>
      </c>
      <c r="R225">
        <f t="shared" si="47"/>
        <v>3.3037419040374009E-6</v>
      </c>
    </row>
    <row r="226" spans="1:18" x14ac:dyDescent="0.25">
      <c r="A226" s="1">
        <v>45653</v>
      </c>
      <c r="B226" s="2">
        <v>3049.45</v>
      </c>
      <c r="C226" s="3">
        <f t="shared" si="36"/>
        <v>2.4801303916791195E-2</v>
      </c>
      <c r="D226" s="3">
        <f t="shared" si="37"/>
        <v>2.4498743961786359E-2</v>
      </c>
      <c r="E226" s="7">
        <f t="shared" si="38"/>
        <v>1.0244987439617863</v>
      </c>
      <c r="F226">
        <f t="shared" si="39"/>
        <v>4.048582995951417E-3</v>
      </c>
      <c r="G226" s="9">
        <f t="shared" si="40"/>
        <v>9.9185198225855699E-5</v>
      </c>
      <c r="H226" s="13">
        <f t="shared" si="41"/>
        <v>2.265772851513182E-6</v>
      </c>
      <c r="J226">
        <v>309.10000000000002</v>
      </c>
      <c r="K226" s="3">
        <f t="shared" si="42"/>
        <v>1.3189151540209167E-2</v>
      </c>
      <c r="L226">
        <f t="shared" si="43"/>
        <v>5.3397374656717275E-5</v>
      </c>
      <c r="M226">
        <f t="shared" si="44"/>
        <v>7.8193482493752073E-7</v>
      </c>
      <c r="O226" s="2">
        <v>1451.45</v>
      </c>
      <c r="P226" s="3">
        <f t="shared" si="45"/>
        <v>-1.1508158654925235E-2</v>
      </c>
      <c r="Q226">
        <f t="shared" si="46"/>
        <v>-4.6591735445041436E-5</v>
      </c>
      <c r="R226">
        <f t="shared" si="47"/>
        <v>4.5527370617922859E-7</v>
      </c>
    </row>
    <row r="227" spans="1:18" x14ac:dyDescent="0.25">
      <c r="A227" s="1">
        <v>45652</v>
      </c>
      <c r="B227" s="2">
        <v>2975.65</v>
      </c>
      <c r="C227" s="3">
        <f t="shared" si="36"/>
        <v>1.6031003516918864E-2</v>
      </c>
      <c r="D227" s="3">
        <f t="shared" si="37"/>
        <v>1.5903863963266648E-2</v>
      </c>
      <c r="E227" s="7">
        <f t="shared" si="38"/>
        <v>1.0159038639632667</v>
      </c>
      <c r="F227">
        <f t="shared" si="39"/>
        <v>4.048582995951417E-3</v>
      </c>
      <c r="G227" s="9">
        <f t="shared" si="40"/>
        <v>6.4388113211605856E-5</v>
      </c>
      <c r="H227" s="13">
        <f t="shared" si="41"/>
        <v>9.1847174753874808E-7</v>
      </c>
      <c r="J227">
        <v>305.05</v>
      </c>
      <c r="K227" s="3">
        <f t="shared" si="42"/>
        <v>-8.192021429706595E-4</v>
      </c>
      <c r="L227">
        <f t="shared" si="43"/>
        <v>-3.3166078662779739E-6</v>
      </c>
      <c r="M227">
        <f t="shared" si="44"/>
        <v>4.9835314552026577E-11</v>
      </c>
      <c r="O227" s="2">
        <v>1468.25</v>
      </c>
      <c r="P227" s="3">
        <f t="shared" si="45"/>
        <v>-2.2792913601379798E-2</v>
      </c>
      <c r="Q227">
        <f t="shared" si="46"/>
        <v>-9.2279002434736022E-5</v>
      </c>
      <c r="R227">
        <f t="shared" si="47"/>
        <v>1.9398124367612809E-6</v>
      </c>
    </row>
    <row r="228" spans="1:18" x14ac:dyDescent="0.25">
      <c r="A228" s="1">
        <v>45650</v>
      </c>
      <c r="B228" s="2">
        <v>2928.7</v>
      </c>
      <c r="C228" s="3">
        <f t="shared" si="36"/>
        <v>6.6682707180420152E-3</v>
      </c>
      <c r="D228" s="3">
        <f t="shared" si="37"/>
        <v>6.6461361459177175E-3</v>
      </c>
      <c r="E228" s="7">
        <f t="shared" si="38"/>
        <v>1.0066461361459178</v>
      </c>
      <c r="F228">
        <f t="shared" si="39"/>
        <v>4.048582995951417E-3</v>
      </c>
      <c r="G228" s="9">
        <f t="shared" si="40"/>
        <v>2.6907433789140556E-5</v>
      </c>
      <c r="H228" s="13">
        <f t="shared" si="41"/>
        <v>1.3639297971416098E-7</v>
      </c>
      <c r="J228">
        <v>305.3</v>
      </c>
      <c r="K228" s="3">
        <f t="shared" si="42"/>
        <v>-8.4801551896224285E-3</v>
      </c>
      <c r="L228">
        <f t="shared" si="43"/>
        <v>-3.4332612103734529E-5</v>
      </c>
      <c r="M228">
        <f t="shared" si="44"/>
        <v>2.4454427672652943E-7</v>
      </c>
      <c r="O228" s="2">
        <v>1502.1</v>
      </c>
      <c r="P228" s="3">
        <f t="shared" si="45"/>
        <v>-3.2261390578905813E-2</v>
      </c>
      <c r="Q228">
        <f t="shared" si="46"/>
        <v>-1.3061291732350533E-4</v>
      </c>
      <c r="R228">
        <f t="shared" si="47"/>
        <v>3.9809677242435295E-6</v>
      </c>
    </row>
    <row r="229" spans="1:18" x14ac:dyDescent="0.25">
      <c r="A229" s="1">
        <v>45649</v>
      </c>
      <c r="B229" s="2">
        <v>2909.3</v>
      </c>
      <c r="C229" s="3">
        <f t="shared" si="36"/>
        <v>1.0150188380615799E-3</v>
      </c>
      <c r="D229" s="3">
        <f t="shared" si="37"/>
        <v>1.0145040547544543E-3</v>
      </c>
      <c r="E229" s="7">
        <f t="shared" si="38"/>
        <v>1.0010145040547545</v>
      </c>
      <c r="F229">
        <f t="shared" si="39"/>
        <v>4.048582995951417E-3</v>
      </c>
      <c r="G229" s="9">
        <f t="shared" si="40"/>
        <v>4.1073038654026494E-6</v>
      </c>
      <c r="H229" s="13">
        <f t="shared" si="41"/>
        <v>1.2060504565068962E-10</v>
      </c>
      <c r="J229">
        <v>307.89999999999998</v>
      </c>
      <c r="K229" s="3">
        <f t="shared" si="42"/>
        <v>8.807755520152798E-3</v>
      </c>
      <c r="L229">
        <f t="shared" si="43"/>
        <v>3.5658929231387844E-5</v>
      </c>
      <c r="M229">
        <f t="shared" si="44"/>
        <v>3.6661721285116952E-7</v>
      </c>
      <c r="O229" s="2">
        <v>1551.35</v>
      </c>
      <c r="P229" s="3">
        <f t="shared" si="45"/>
        <v>4.7624118509999494E-2</v>
      </c>
      <c r="Q229">
        <f t="shared" si="46"/>
        <v>1.9281019639675909E-4</v>
      </c>
      <c r="R229">
        <f t="shared" si="47"/>
        <v>9.5342430676962049E-6</v>
      </c>
    </row>
    <row r="230" spans="1:18" x14ac:dyDescent="0.25">
      <c r="A230" s="1">
        <v>45646</v>
      </c>
      <c r="B230" s="2">
        <v>2906.35</v>
      </c>
      <c r="C230" s="3">
        <f t="shared" si="36"/>
        <v>-3.5924568357852543E-2</v>
      </c>
      <c r="D230" s="3">
        <f t="shared" si="37"/>
        <v>-3.658573884141348E-2</v>
      </c>
      <c r="E230" s="7">
        <f t="shared" si="38"/>
        <v>0.96341426115858653</v>
      </c>
      <c r="F230">
        <f t="shared" si="39"/>
        <v>4.048582995951417E-3</v>
      </c>
      <c r="G230" s="9">
        <f t="shared" si="40"/>
        <v>-1.4812040016766592E-4</v>
      </c>
      <c r="H230" s="13">
        <f t="shared" si="41"/>
        <v>5.6713714074585334E-6</v>
      </c>
      <c r="J230">
        <v>305.2</v>
      </c>
      <c r="K230" s="3">
        <f t="shared" si="42"/>
        <v>-2.4436849936718671E-2</v>
      </c>
      <c r="L230">
        <f t="shared" si="43"/>
        <v>-9.8934615128415678E-5</v>
      </c>
      <c r="M230">
        <f t="shared" si="44"/>
        <v>2.2795393896940567E-6</v>
      </c>
      <c r="O230" s="2">
        <v>1479.2</v>
      </c>
      <c r="P230" s="3">
        <f t="shared" si="45"/>
        <v>-9.8304855451137221E-2</v>
      </c>
      <c r="Q230">
        <f t="shared" si="46"/>
        <v>-3.9799536619893614E-4</v>
      </c>
      <c r="R230">
        <f t="shared" si="47"/>
        <v>3.8408774426460468E-5</v>
      </c>
    </row>
    <row r="231" spans="1:18" x14ac:dyDescent="0.25">
      <c r="A231" s="1">
        <v>45645</v>
      </c>
      <c r="B231" s="2">
        <v>3014.65</v>
      </c>
      <c r="C231" s="3">
        <f t="shared" si="36"/>
        <v>-1.1978893550078569E-2</v>
      </c>
      <c r="D231" s="3">
        <f t="shared" si="37"/>
        <v>-1.2051218658886434E-2</v>
      </c>
      <c r="E231" s="7">
        <f t="shared" si="38"/>
        <v>0.98794878134111352</v>
      </c>
      <c r="F231">
        <f t="shared" si="39"/>
        <v>4.048582995951417E-3</v>
      </c>
      <c r="G231" s="9">
        <f t="shared" si="40"/>
        <v>-4.8790358942860059E-5</v>
      </c>
      <c r="H231" s="13">
        <f t="shared" si="41"/>
        <v>6.730069289253531E-7</v>
      </c>
      <c r="J231">
        <v>312.75</v>
      </c>
      <c r="K231" s="3">
        <f t="shared" si="42"/>
        <v>4.7973135964424408E-4</v>
      </c>
      <c r="L231">
        <f t="shared" si="43"/>
        <v>1.9422322252803405E-6</v>
      </c>
      <c r="M231">
        <f t="shared" si="44"/>
        <v>5.7138097601737231E-9</v>
      </c>
      <c r="O231" s="2">
        <v>1632</v>
      </c>
      <c r="P231" s="3">
        <f t="shared" si="45"/>
        <v>1.3385759500101959E-2</v>
      </c>
      <c r="Q231">
        <f t="shared" si="46"/>
        <v>5.419335830000793E-5</v>
      </c>
      <c r="R231">
        <f t="shared" si="47"/>
        <v>8.2668528010891079E-7</v>
      </c>
    </row>
    <row r="232" spans="1:18" x14ac:dyDescent="0.25">
      <c r="A232" s="1">
        <v>45644</v>
      </c>
      <c r="B232" s="2">
        <v>3051.2</v>
      </c>
      <c r="C232" s="3">
        <f t="shared" si="36"/>
        <v>3.1892158474436357E-3</v>
      </c>
      <c r="D232" s="3">
        <f t="shared" si="37"/>
        <v>3.1841410853944738E-3</v>
      </c>
      <c r="E232" s="7">
        <f t="shared" si="38"/>
        <v>1.0031841410853946</v>
      </c>
      <c r="F232">
        <f t="shared" si="39"/>
        <v>4.048582995951417E-3</v>
      </c>
      <c r="G232" s="9">
        <f t="shared" si="40"/>
        <v>1.2891259455038355E-5</v>
      </c>
      <c r="H232" s="13">
        <f t="shared" si="41"/>
        <v>2.2210754979198291E-8</v>
      </c>
      <c r="J232">
        <v>312.60000000000002</v>
      </c>
      <c r="K232" s="3">
        <f t="shared" si="42"/>
        <v>1.2068695845468156E-2</v>
      </c>
      <c r="L232">
        <f t="shared" si="43"/>
        <v>4.8861116783271887E-5</v>
      </c>
      <c r="M232">
        <f t="shared" si="44"/>
        <v>6.6093306344210575E-7</v>
      </c>
      <c r="O232" s="2">
        <v>1610.3</v>
      </c>
      <c r="P232" s="3">
        <f t="shared" si="45"/>
        <v>-8.5641049643520144E-3</v>
      </c>
      <c r="Q232">
        <f t="shared" si="46"/>
        <v>-3.4672489734218683E-5</v>
      </c>
      <c r="R232">
        <f t="shared" si="47"/>
        <v>2.3757248704750759E-7</v>
      </c>
    </row>
    <row r="233" spans="1:18" x14ac:dyDescent="0.25">
      <c r="A233" s="1">
        <v>45643</v>
      </c>
      <c r="B233" s="2">
        <v>3041.5</v>
      </c>
      <c r="C233" s="3">
        <f t="shared" si="36"/>
        <v>-1.4052547125467984E-2</v>
      </c>
      <c r="D233" s="3">
        <f t="shared" si="37"/>
        <v>-1.4152219030334074E-2</v>
      </c>
      <c r="E233" s="7">
        <f t="shared" si="38"/>
        <v>0.98584778096966597</v>
      </c>
      <c r="F233">
        <f t="shared" si="39"/>
        <v>4.048582995951417E-3</v>
      </c>
      <c r="G233" s="9">
        <f t="shared" si="40"/>
        <v>-5.7296433321190583E-5</v>
      </c>
      <c r="H233" s="13">
        <f t="shared" si="41"/>
        <v>9.1021798063981363E-7</v>
      </c>
      <c r="J233">
        <v>308.85000000000002</v>
      </c>
      <c r="K233" s="3">
        <f t="shared" si="42"/>
        <v>-1.132594571358654E-3</v>
      </c>
      <c r="L233">
        <f t="shared" si="43"/>
        <v>-4.5854031229095307E-6</v>
      </c>
      <c r="M233">
        <f t="shared" si="44"/>
        <v>7.2900517801726997E-10</v>
      </c>
      <c r="O233" s="2">
        <v>1624.15</v>
      </c>
      <c r="P233" s="3">
        <f t="shared" si="45"/>
        <v>-1.0595395544259487E-2</v>
      </c>
      <c r="Q233">
        <f t="shared" si="46"/>
        <v>-4.2896338235868367E-5</v>
      </c>
      <c r="R233">
        <f t="shared" si="47"/>
        <v>3.8027202992193136E-7</v>
      </c>
    </row>
    <row r="234" spans="1:18" x14ac:dyDescent="0.25">
      <c r="A234" s="1">
        <v>45642</v>
      </c>
      <c r="B234" s="2">
        <v>3084.85</v>
      </c>
      <c r="C234" s="3">
        <f t="shared" si="36"/>
        <v>1.1196209515154858E-3</v>
      </c>
      <c r="D234" s="3">
        <f t="shared" si="37"/>
        <v>1.1189946434193936E-3</v>
      </c>
      <c r="E234" s="7">
        <f t="shared" si="38"/>
        <v>1.0011189946434194</v>
      </c>
      <c r="F234">
        <f t="shared" si="39"/>
        <v>4.048582995951417E-3</v>
      </c>
      <c r="G234" s="9">
        <f t="shared" si="40"/>
        <v>4.5303426859084761E-6</v>
      </c>
      <c r="H234" s="13">
        <f t="shared" si="41"/>
        <v>3.108384019271354E-10</v>
      </c>
      <c r="J234">
        <v>309.2</v>
      </c>
      <c r="K234" s="3">
        <f t="shared" si="42"/>
        <v>-2.4226774346615605E-3</v>
      </c>
      <c r="L234">
        <f t="shared" si="43"/>
        <v>-9.8084106666459934E-6</v>
      </c>
      <c r="M234">
        <f t="shared" si="44"/>
        <v>1.189977781942736E-8</v>
      </c>
      <c r="O234" s="2">
        <v>1641.45</v>
      </c>
      <c r="P234" s="3">
        <f t="shared" si="45"/>
        <v>-1.6764472184835875E-2</v>
      </c>
      <c r="Q234">
        <f t="shared" si="46"/>
        <v>-6.7872357023627029E-5</v>
      </c>
      <c r="R234">
        <f t="shared" si="47"/>
        <v>1.0184663796740722E-6</v>
      </c>
    </row>
    <row r="235" spans="1:18" x14ac:dyDescent="0.25">
      <c r="A235" s="1">
        <v>45639</v>
      </c>
      <c r="B235" s="2">
        <v>3081.4</v>
      </c>
      <c r="C235" s="3">
        <f t="shared" si="36"/>
        <v>4.547751389590792E-3</v>
      </c>
      <c r="D235" s="3">
        <f t="shared" si="37"/>
        <v>4.5374416139537634E-3</v>
      </c>
      <c r="E235" s="7">
        <f t="shared" si="38"/>
        <v>1.0045374416139539</v>
      </c>
      <c r="F235">
        <f t="shared" si="39"/>
        <v>4.048582995951417E-3</v>
      </c>
      <c r="G235" s="9">
        <f t="shared" si="40"/>
        <v>1.8370208963375559E-5</v>
      </c>
      <c r="H235" s="13">
        <f t="shared" si="41"/>
        <v>5.5291375396819966E-8</v>
      </c>
      <c r="J235">
        <v>309.95</v>
      </c>
      <c r="K235" s="3">
        <f t="shared" si="42"/>
        <v>2.7461450098576539E-3</v>
      </c>
      <c r="L235">
        <f t="shared" si="43"/>
        <v>1.1117995991326535E-5</v>
      </c>
      <c r="M235">
        <f t="shared" si="44"/>
        <v>4.8311245918113951E-8</v>
      </c>
      <c r="O235" s="2">
        <v>1669.2</v>
      </c>
      <c r="P235" s="3">
        <f t="shared" si="45"/>
        <v>-1.1259166389945391E-2</v>
      </c>
      <c r="Q235">
        <f t="shared" si="46"/>
        <v>-4.5583669594920615E-5</v>
      </c>
      <c r="R235">
        <f t="shared" si="47"/>
        <v>4.3414490574265684E-7</v>
      </c>
    </row>
    <row r="236" spans="1:18" x14ac:dyDescent="0.25">
      <c r="A236" s="1">
        <v>45638</v>
      </c>
      <c r="B236" s="2">
        <v>3067.45</v>
      </c>
      <c r="C236" s="3">
        <f t="shared" si="36"/>
        <v>-1.4973714620531448E-3</v>
      </c>
      <c r="D236" s="3">
        <f t="shared" si="37"/>
        <v>-1.4984936430553161E-3</v>
      </c>
      <c r="E236" s="7">
        <f t="shared" si="38"/>
        <v>0.99850150635694468</v>
      </c>
      <c r="F236">
        <f t="shared" si="39"/>
        <v>4.048582995951417E-3</v>
      </c>
      <c r="G236" s="9">
        <f t="shared" si="40"/>
        <v>-6.0667758828150452E-6</v>
      </c>
      <c r="H236" s="13">
        <f t="shared" si="41"/>
        <v>2.2176029140816285E-8</v>
      </c>
      <c r="J236">
        <v>309.10000000000002</v>
      </c>
      <c r="K236" s="3">
        <f t="shared" si="42"/>
        <v>3.2357224032532561E-4</v>
      </c>
      <c r="L236">
        <f t="shared" si="43"/>
        <v>1.3100090701430186E-6</v>
      </c>
      <c r="M236">
        <f t="shared" si="44"/>
        <v>4.310392510815875E-9</v>
      </c>
      <c r="O236" s="2">
        <v>1688.1</v>
      </c>
      <c r="P236" s="3">
        <f t="shared" si="45"/>
        <v>1.1918381947333257E-2</v>
      </c>
      <c r="Q236">
        <f t="shared" si="46"/>
        <v>4.8252558491227764E-5</v>
      </c>
      <c r="R236">
        <f t="shared" si="47"/>
        <v>6.656199541915746E-7</v>
      </c>
    </row>
    <row r="237" spans="1:18" x14ac:dyDescent="0.25">
      <c r="A237" s="1">
        <v>45637</v>
      </c>
      <c r="B237" s="2">
        <v>3072.05</v>
      </c>
      <c r="C237" s="3">
        <f t="shared" si="36"/>
        <v>1.6792200593433405E-3</v>
      </c>
      <c r="D237" s="3">
        <f t="shared" si="37"/>
        <v>1.6778117456981438E-3</v>
      </c>
      <c r="E237" s="7">
        <f t="shared" si="38"/>
        <v>1.0016778117456981</v>
      </c>
      <c r="F237">
        <f t="shared" si="39"/>
        <v>4.048582995951417E-3</v>
      </c>
      <c r="G237" s="9">
        <f t="shared" si="40"/>
        <v>6.7927601040410681E-6</v>
      </c>
      <c r="H237" s="13">
        <f t="shared" si="41"/>
        <v>2.8288878757555673E-9</v>
      </c>
      <c r="J237">
        <v>309</v>
      </c>
      <c r="K237" s="3">
        <f t="shared" si="42"/>
        <v>2.916871295123189E-3</v>
      </c>
      <c r="L237">
        <f t="shared" si="43"/>
        <v>1.180919552681453E-5</v>
      </c>
      <c r="M237">
        <f t="shared" si="44"/>
        <v>5.3204610874169666E-8</v>
      </c>
      <c r="O237" s="2">
        <v>1668.1</v>
      </c>
      <c r="P237" s="3">
        <f t="shared" si="45"/>
        <v>2.6423622543156201E-2</v>
      </c>
      <c r="Q237">
        <f t="shared" si="46"/>
        <v>1.0697822891966074E-4</v>
      </c>
      <c r="R237">
        <f t="shared" si="47"/>
        <v>3.0234313822105036E-6</v>
      </c>
    </row>
    <row r="238" spans="1:18" x14ac:dyDescent="0.25">
      <c r="A238" s="1">
        <v>45636</v>
      </c>
      <c r="B238" s="2">
        <v>3066.9</v>
      </c>
      <c r="C238" s="3">
        <f t="shared" si="36"/>
        <v>5.1290454731667649E-3</v>
      </c>
      <c r="D238" s="3">
        <f t="shared" si="37"/>
        <v>5.1159367239082361E-3</v>
      </c>
      <c r="E238" s="7">
        <f t="shared" si="38"/>
        <v>1.0051159367239082</v>
      </c>
      <c r="F238">
        <f t="shared" si="39"/>
        <v>4.048582995951417E-3</v>
      </c>
      <c r="G238" s="9">
        <f t="shared" si="40"/>
        <v>2.0712294428778285E-5</v>
      </c>
      <c r="H238" s="13">
        <f t="shared" si="41"/>
        <v>7.3956772167451768E-8</v>
      </c>
      <c r="J238">
        <v>308.10000000000002</v>
      </c>
      <c r="K238" s="3">
        <f t="shared" si="42"/>
        <v>1.421941094786414E-2</v>
      </c>
      <c r="L238">
        <f t="shared" si="43"/>
        <v>5.7568465375968178E-5</v>
      </c>
      <c r="M238">
        <f t="shared" si="44"/>
        <v>9.0216681523806118E-7</v>
      </c>
      <c r="O238" s="2">
        <v>1624.6</v>
      </c>
      <c r="P238" s="3">
        <f t="shared" si="45"/>
        <v>-1.3056093488064382E-2</v>
      </c>
      <c r="Q238">
        <f t="shared" si="46"/>
        <v>-5.2858678089329479E-5</v>
      </c>
      <c r="R238">
        <f t="shared" si="47"/>
        <v>5.9788844805118329E-7</v>
      </c>
    </row>
    <row r="239" spans="1:18" x14ac:dyDescent="0.25">
      <c r="A239" s="1">
        <v>45635</v>
      </c>
      <c r="B239" s="2">
        <v>3051.25</v>
      </c>
      <c r="C239" s="3">
        <f t="shared" si="36"/>
        <v>-7.0777741620566218E-3</v>
      </c>
      <c r="D239" s="3">
        <f t="shared" si="37"/>
        <v>-7.1029404233147794E-3</v>
      </c>
      <c r="E239" s="7">
        <f t="shared" si="38"/>
        <v>0.99289705957668517</v>
      </c>
      <c r="F239">
        <f t="shared" si="39"/>
        <v>4.048582995951417E-3</v>
      </c>
      <c r="G239" s="9">
        <f t="shared" si="40"/>
        <v>-2.8756843819088175E-5</v>
      </c>
      <c r="H239" s="13">
        <f t="shared" si="41"/>
        <v>2.5554904555717786E-7</v>
      </c>
      <c r="J239">
        <v>303.75</v>
      </c>
      <c r="K239" s="3">
        <f t="shared" si="42"/>
        <v>2.1295098502155493E-2</v>
      </c>
      <c r="L239">
        <f t="shared" si="43"/>
        <v>8.6214973692937217E-5</v>
      </c>
      <c r="M239">
        <f t="shared" si="44"/>
        <v>1.960111557082861E-6</v>
      </c>
      <c r="O239" s="2">
        <v>1645.95</v>
      </c>
      <c r="P239" s="3">
        <f t="shared" si="45"/>
        <v>-1.6390460781012888E-3</v>
      </c>
      <c r="Q239">
        <f t="shared" si="46"/>
        <v>-6.6358140813817364E-6</v>
      </c>
      <c r="R239">
        <f t="shared" si="47"/>
        <v>2.1886618612573089E-9</v>
      </c>
    </row>
    <row r="240" spans="1:18" x14ac:dyDescent="0.25">
      <c r="A240" s="1">
        <v>45632</v>
      </c>
      <c r="B240" s="2">
        <v>3073</v>
      </c>
      <c r="C240" s="3">
        <f t="shared" si="36"/>
        <v>4.5578851412947358E-4</v>
      </c>
      <c r="D240" s="3">
        <f t="shared" si="37"/>
        <v>4.5568467409614358E-4</v>
      </c>
      <c r="E240" s="7">
        <f t="shared" si="38"/>
        <v>1.0004556846740962</v>
      </c>
      <c r="F240">
        <f t="shared" si="39"/>
        <v>4.048582995951417E-3</v>
      </c>
      <c r="G240" s="9">
        <f t="shared" si="40"/>
        <v>1.8448772230613101E-6</v>
      </c>
      <c r="H240" s="13">
        <f t="shared" si="41"/>
        <v>6.039204441524562E-10</v>
      </c>
      <c r="J240">
        <v>297.35000000000002</v>
      </c>
      <c r="K240" s="3">
        <f t="shared" si="42"/>
        <v>-6.5365187060504966E-3</v>
      </c>
      <c r="L240">
        <f t="shared" si="43"/>
        <v>-2.6463638486034399E-5</v>
      </c>
      <c r="M240">
        <f t="shared" si="44"/>
        <v>1.3752494199369356E-7</v>
      </c>
      <c r="O240" s="2">
        <v>1648.65</v>
      </c>
      <c r="P240" s="3">
        <f t="shared" si="45"/>
        <v>-9.4178002977938213E-3</v>
      </c>
      <c r="Q240">
        <f t="shared" si="46"/>
        <v>-3.8128746144914258E-5</v>
      </c>
      <c r="R240">
        <f t="shared" si="47"/>
        <v>2.9347509292487098E-7</v>
      </c>
    </row>
    <row r="241" spans="1:18" x14ac:dyDescent="0.25">
      <c r="A241" s="1">
        <v>45631</v>
      </c>
      <c r="B241" s="2">
        <v>3071.6</v>
      </c>
      <c r="C241" s="3">
        <f t="shared" si="36"/>
        <v>1.3144223633215111E-2</v>
      </c>
      <c r="D241" s="3">
        <f t="shared" si="37"/>
        <v>1.3058587919487261E-2</v>
      </c>
      <c r="E241" s="7">
        <f t="shared" si="38"/>
        <v>1.0130585879194873</v>
      </c>
      <c r="F241">
        <f t="shared" si="39"/>
        <v>4.048582995951417E-3</v>
      </c>
      <c r="G241" s="9">
        <f t="shared" si="40"/>
        <v>5.2868777001972714E-5</v>
      </c>
      <c r="H241" s="13">
        <f t="shared" si="41"/>
        <v>6.0423996625094124E-7</v>
      </c>
      <c r="J241">
        <v>299.3</v>
      </c>
      <c r="K241" s="3">
        <f t="shared" si="42"/>
        <v>1.7866647519971669E-2</v>
      </c>
      <c r="L241">
        <f t="shared" si="43"/>
        <v>7.2334605344014853E-5</v>
      </c>
      <c r="M241">
        <f t="shared" si="44"/>
        <v>1.3968704233148225E-6</v>
      </c>
      <c r="O241" s="2">
        <v>1664.25</v>
      </c>
      <c r="P241" s="3">
        <f t="shared" si="45"/>
        <v>-2.1008411088118389E-3</v>
      </c>
      <c r="Q241">
        <f t="shared" si="46"/>
        <v>-8.5054295903313312E-6</v>
      </c>
      <c r="R241">
        <f t="shared" si="47"/>
        <v>5.8013282078227559E-9</v>
      </c>
    </row>
    <row r="242" spans="1:18" x14ac:dyDescent="0.25">
      <c r="A242" s="1">
        <v>45630</v>
      </c>
      <c r="B242" s="2">
        <v>3031.75</v>
      </c>
      <c r="C242" s="3">
        <f t="shared" si="36"/>
        <v>1.4699567271165123E-3</v>
      </c>
      <c r="D242" s="3">
        <f t="shared" si="37"/>
        <v>1.4688773983084166E-3</v>
      </c>
      <c r="E242" s="7">
        <f t="shared" si="38"/>
        <v>1.0014688773983085</v>
      </c>
      <c r="F242">
        <f t="shared" si="39"/>
        <v>4.048582995951417E-3</v>
      </c>
      <c r="G242" s="9">
        <f t="shared" si="40"/>
        <v>5.9468720579288118E-6</v>
      </c>
      <c r="H242" s="13">
        <f t="shared" si="41"/>
        <v>1.5914607342364609E-9</v>
      </c>
      <c r="J242">
        <v>294</v>
      </c>
      <c r="K242" s="3">
        <f t="shared" si="42"/>
        <v>8.0253141390349714E-3</v>
      </c>
      <c r="L242">
        <f t="shared" si="43"/>
        <v>3.249115036046547E-5</v>
      </c>
      <c r="M242">
        <f t="shared" si="44"/>
        <v>3.0880658154999073E-7</v>
      </c>
      <c r="O242" s="2">
        <v>1667.75</v>
      </c>
      <c r="P242" s="3">
        <f t="shared" si="45"/>
        <v>-1.272043009667452E-2</v>
      </c>
      <c r="Q242">
        <f t="shared" si="46"/>
        <v>-5.1499716990585104E-5</v>
      </c>
      <c r="R242">
        <f t="shared" si="47"/>
        <v>5.6531558987626842E-7</v>
      </c>
    </row>
    <row r="243" spans="1:18" x14ac:dyDescent="0.25">
      <c r="A243" s="1">
        <v>45629</v>
      </c>
      <c r="B243" s="2">
        <v>3027.3</v>
      </c>
      <c r="C243" s="3">
        <f t="shared" si="36"/>
        <v>3.6135791009150281E-3</v>
      </c>
      <c r="D243" s="3">
        <f t="shared" si="37"/>
        <v>3.6070658101009165E-3</v>
      </c>
      <c r="E243" s="7">
        <f t="shared" si="38"/>
        <v>1.0036070658101008</v>
      </c>
      <c r="F243">
        <f t="shared" si="39"/>
        <v>4.048582995951417E-3</v>
      </c>
      <c r="G243" s="9">
        <f t="shared" si="40"/>
        <v>1.4603505304052294E-5</v>
      </c>
      <c r="H243" s="13">
        <f t="shared" si="41"/>
        <v>3.0955864317064065E-8</v>
      </c>
      <c r="J243">
        <v>291.64999999999998</v>
      </c>
      <c r="K243" s="3">
        <f t="shared" si="42"/>
        <v>-2.1235793704460428E-3</v>
      </c>
      <c r="L243">
        <f t="shared" si="43"/>
        <v>-8.5974873297410644E-6</v>
      </c>
      <c r="M243">
        <f t="shared" si="44"/>
        <v>8.1098937833838676E-9</v>
      </c>
      <c r="O243" s="2">
        <v>1689.1</v>
      </c>
      <c r="P243" s="3">
        <f t="shared" si="45"/>
        <v>6.2791582271889759E-2</v>
      </c>
      <c r="Q243">
        <f t="shared" si="46"/>
        <v>2.5421693227485734E-4</v>
      </c>
      <c r="R243">
        <f t="shared" si="47"/>
        <v>1.6425508598803456E-5</v>
      </c>
    </row>
    <row r="244" spans="1:18" x14ac:dyDescent="0.25">
      <c r="A244" s="1">
        <v>45628</v>
      </c>
      <c r="B244" s="2">
        <v>3016.4</v>
      </c>
      <c r="C244" s="3">
        <f t="shared" si="36"/>
        <v>1.6958295404740292E-2</v>
      </c>
      <c r="D244" s="3">
        <f t="shared" si="37"/>
        <v>1.6816108757295015E-2</v>
      </c>
      <c r="E244" s="7">
        <f t="shared" si="38"/>
        <v>1.0168161087572951</v>
      </c>
      <c r="F244">
        <f t="shared" si="39"/>
        <v>4.048582995951417E-3</v>
      </c>
      <c r="G244" s="9">
        <f t="shared" si="40"/>
        <v>6.808141197285431E-5</v>
      </c>
      <c r="H244" s="13">
        <f t="shared" si="41"/>
        <v>1.03309754773924E-6</v>
      </c>
      <c r="J244">
        <v>292.27</v>
      </c>
      <c r="K244" s="3">
        <f t="shared" si="42"/>
        <v>1.1528199387446508E-2</v>
      </c>
      <c r="L244">
        <f t="shared" si="43"/>
        <v>4.6672872013953474E-5</v>
      </c>
      <c r="M244">
        <f t="shared" si="44"/>
        <v>6.0619761134657129E-7</v>
      </c>
      <c r="O244" s="2">
        <v>1586.3</v>
      </c>
      <c r="P244" s="3">
        <f t="shared" si="45"/>
        <v>4.8831140864730227E-2</v>
      </c>
      <c r="Q244">
        <f t="shared" si="46"/>
        <v>1.9769692657785516E-4</v>
      </c>
      <c r="R244">
        <f t="shared" si="47"/>
        <v>1.0014427063978774E-5</v>
      </c>
    </row>
    <row r="245" spans="1:18" x14ac:dyDescent="0.25">
      <c r="A245" s="1">
        <v>45625</v>
      </c>
      <c r="B245" s="2">
        <v>2966.1</v>
      </c>
      <c r="C245" s="3">
        <f t="shared" si="36"/>
        <v>2.3251802532169626E-2</v>
      </c>
      <c r="D245" s="3">
        <f t="shared" si="37"/>
        <v>2.2985597964362014E-2</v>
      </c>
      <c r="E245" s="7">
        <f t="shared" si="38"/>
        <v>1.0229855979643621</v>
      </c>
      <c r="F245">
        <f t="shared" si="39"/>
        <v>4.048582995951417E-3</v>
      </c>
      <c r="G245" s="9">
        <f t="shared" si="40"/>
        <v>9.3059101070291559E-5</v>
      </c>
      <c r="H245" s="13">
        <f t="shared" si="41"/>
        <v>1.9851943782043177E-6</v>
      </c>
      <c r="J245">
        <v>288.92</v>
      </c>
      <c r="K245" s="3">
        <f t="shared" si="42"/>
        <v>9.8084331265814329E-3</v>
      </c>
      <c r="L245">
        <f t="shared" si="43"/>
        <v>3.9710255573204185E-5</v>
      </c>
      <c r="M245">
        <f t="shared" si="44"/>
        <v>4.4777621059862102E-7</v>
      </c>
      <c r="O245" s="2">
        <v>1510.7</v>
      </c>
      <c r="P245" s="3">
        <f t="shared" si="45"/>
        <v>1.7225391830400839E-3</v>
      </c>
      <c r="Q245">
        <f t="shared" si="46"/>
        <v>6.9738428463161295E-6</v>
      </c>
      <c r="R245">
        <f t="shared" si="47"/>
        <v>2.792555544720127E-8</v>
      </c>
    </row>
    <row r="246" spans="1:18" x14ac:dyDescent="0.25">
      <c r="A246" s="1">
        <v>45624</v>
      </c>
      <c r="B246" s="2">
        <v>2898.7</v>
      </c>
      <c r="C246" s="3">
        <f t="shared" si="36"/>
        <v>-3.5310170394036326E-2</v>
      </c>
      <c r="D246" s="3">
        <f t="shared" si="37"/>
        <v>-3.5948649407108964E-2</v>
      </c>
      <c r="E246" s="7">
        <f t="shared" si="38"/>
        <v>0.96405135059289104</v>
      </c>
      <c r="F246">
        <f t="shared" si="39"/>
        <v>4.048582995951417E-3</v>
      </c>
      <c r="G246" s="9">
        <f t="shared" si="40"/>
        <v>-1.4554109071704033E-4</v>
      </c>
      <c r="H246" s="13">
        <f t="shared" si="41"/>
        <v>5.4799396925515568E-6</v>
      </c>
      <c r="J246">
        <v>286.10000000000002</v>
      </c>
      <c r="K246" s="3">
        <f t="shared" si="42"/>
        <v>-1.8527064435494085E-2</v>
      </c>
      <c r="L246">
        <f t="shared" si="43"/>
        <v>-7.5008358038437586E-5</v>
      </c>
      <c r="M246">
        <f t="shared" si="44"/>
        <v>1.2854654995831611E-6</v>
      </c>
      <c r="O246" s="2">
        <v>1508.1</v>
      </c>
      <c r="P246" s="3">
        <f t="shared" si="45"/>
        <v>-1.6212927276158081E-2</v>
      </c>
      <c r="Q246">
        <f t="shared" si="46"/>
        <v>-6.5639381684850527E-5</v>
      </c>
      <c r="R246">
        <f t="shared" si="47"/>
        <v>9.4886494764029734E-7</v>
      </c>
    </row>
    <row r="247" spans="1:18" x14ac:dyDescent="0.25">
      <c r="A247" s="1">
        <v>45623</v>
      </c>
      <c r="B247" s="2">
        <v>3004.8</v>
      </c>
      <c r="C247" s="3">
        <f t="shared" si="36"/>
        <v>6.5657242395820601E-3</v>
      </c>
      <c r="D247" s="3">
        <f t="shared" si="37"/>
        <v>6.5442637567114841E-3</v>
      </c>
      <c r="E247" s="7">
        <f t="shared" si="38"/>
        <v>1.0065442637567115</v>
      </c>
      <c r="F247">
        <f t="shared" si="39"/>
        <v>4.048582995951417E-3</v>
      </c>
      <c r="G247" s="9">
        <f t="shared" si="40"/>
        <v>2.6494994966443254E-5</v>
      </c>
      <c r="H247" s="13">
        <f t="shared" si="41"/>
        <v>1.3164721768101145E-7</v>
      </c>
      <c r="J247">
        <v>291.45</v>
      </c>
      <c r="K247" s="3">
        <f t="shared" si="42"/>
        <v>-1.0410538600082677E-2</v>
      </c>
      <c r="L247">
        <f t="shared" si="43"/>
        <v>-4.2147929554990593E-5</v>
      </c>
      <c r="M247">
        <f t="shared" si="44"/>
        <v>3.8111057405986217E-7</v>
      </c>
      <c r="O247" s="2">
        <v>1532.75</v>
      </c>
      <c r="P247" s="3">
        <f t="shared" si="45"/>
        <v>-1.4540647063377295E-2</v>
      </c>
      <c r="Q247">
        <f t="shared" si="46"/>
        <v>-5.8869016450920224E-5</v>
      </c>
      <c r="R247">
        <f t="shared" si="47"/>
        <v>7.5289001250891561E-7</v>
      </c>
    </row>
    <row r="248" spans="1:18" x14ac:dyDescent="0.25">
      <c r="A248" s="1">
        <v>45622</v>
      </c>
      <c r="B248" s="2">
        <v>2985.2</v>
      </c>
      <c r="C248" s="3">
        <f t="shared" si="36"/>
        <v>-1.9831888626214898E-2</v>
      </c>
      <c r="D248" s="3">
        <f t="shared" si="37"/>
        <v>-2.0031179811055243E-2</v>
      </c>
      <c r="E248" s="7">
        <f t="shared" si="38"/>
        <v>0.97996882018894471</v>
      </c>
      <c r="F248">
        <f t="shared" si="39"/>
        <v>4.048582995951417E-3</v>
      </c>
      <c r="G248" s="9">
        <f t="shared" si="40"/>
        <v>-8.109789397188358E-5</v>
      </c>
      <c r="H248" s="13">
        <f t="shared" si="41"/>
        <v>1.7639100766958516E-6</v>
      </c>
      <c r="J248">
        <v>294.5</v>
      </c>
      <c r="K248" s="3">
        <f t="shared" si="42"/>
        <v>1.1165670097488058E-2</v>
      </c>
      <c r="L248">
        <f t="shared" si="43"/>
        <v>4.5205142095093353E-5</v>
      </c>
      <c r="M248">
        <f t="shared" si="44"/>
        <v>5.7081008673796153E-7</v>
      </c>
      <c r="O248" s="2">
        <v>1555.2</v>
      </c>
      <c r="P248" s="3">
        <f t="shared" si="45"/>
        <v>-3.7359215893169873E-2</v>
      </c>
      <c r="Q248">
        <f t="shared" si="46"/>
        <v>-1.5125188620716546E-4</v>
      </c>
      <c r="R248">
        <f t="shared" si="47"/>
        <v>5.380558610786793E-6</v>
      </c>
    </row>
    <row r="249" spans="1:18" x14ac:dyDescent="0.25">
      <c r="A249" s="1">
        <v>45621</v>
      </c>
      <c r="B249" s="2">
        <v>3045.6</v>
      </c>
      <c r="C249" s="3"/>
      <c r="D249" s="3"/>
      <c r="E249" s="7"/>
      <c r="G249" s="9"/>
      <c r="H249" s="13"/>
      <c r="J249">
        <v>291.23</v>
      </c>
      <c r="K249" s="3"/>
      <c r="O249" s="2">
        <v>1614.4</v>
      </c>
      <c r="P249" s="3"/>
    </row>
    <row r="250" spans="1:18" x14ac:dyDescent="0.25">
      <c r="A250">
        <f>COUNT(B2:B249)</f>
        <v>248</v>
      </c>
      <c r="D250" s="3"/>
      <c r="E250" s="7"/>
      <c r="G250" s="9"/>
      <c r="H250" s="13"/>
    </row>
    <row r="252" spans="1:18" x14ac:dyDescent="0.25">
      <c r="A252" s="6">
        <v>1</v>
      </c>
      <c r="B252" t="s">
        <v>3</v>
      </c>
      <c r="C252" s="7">
        <f>AVERAGE(C2:C248)</f>
        <v>9.912653547434582E-4</v>
      </c>
      <c r="D252" s="10">
        <f>AVERAGE(D2:D248)</f>
        <v>8.419078604866776E-4</v>
      </c>
      <c r="E252" s="3"/>
    </row>
    <row r="253" spans="1:18" x14ac:dyDescent="0.25">
      <c r="A253" s="6">
        <v>2</v>
      </c>
      <c r="B253" t="s">
        <v>4</v>
      </c>
      <c r="C253">
        <f>GEOMEAN(E2:E248)</f>
        <v>1.0006927437346842</v>
      </c>
      <c r="D253" s="11">
        <f>C253-1</f>
        <v>6.9274373468419803E-4</v>
      </c>
    </row>
    <row r="254" spans="1:18" x14ac:dyDescent="0.25">
      <c r="A254" s="6">
        <v>3</v>
      </c>
      <c r="B254" t="s">
        <v>6</v>
      </c>
      <c r="C254" t="s">
        <v>11</v>
      </c>
      <c r="D254" s="8"/>
      <c r="G254" s="12">
        <f>SUM(G2:G248)</f>
        <v>8.4190786048667695E-4</v>
      </c>
      <c r="L254" s="12">
        <f>SUM(L2:L249)</f>
        <v>-7.0825475591557575E-4</v>
      </c>
      <c r="Q254" s="12">
        <f>SUM(Q2:Q249)</f>
        <v>-9.0379137411731886E-4</v>
      </c>
    </row>
    <row r="255" spans="1:18" x14ac:dyDescent="0.25">
      <c r="A255" s="6">
        <v>4</v>
      </c>
      <c r="B255" t="s">
        <v>13</v>
      </c>
      <c r="D255" s="8"/>
      <c r="G255" s="12"/>
      <c r="H255" s="12">
        <f>SUM(H2:H248)</f>
        <v>2.9796125798527216E-4</v>
      </c>
      <c r="M255" s="34">
        <f>SUM(M2:M248)</f>
        <v>2.6209883922200412E-4</v>
      </c>
      <c r="R255" s="34">
        <f>SUM(R2:R248)</f>
        <v>4.448860624660997E-4</v>
      </c>
    </row>
    <row r="256" spans="1:18" x14ac:dyDescent="0.25">
      <c r="A256" s="6">
        <v>5</v>
      </c>
      <c r="B256" t="s">
        <v>20</v>
      </c>
      <c r="C256" t="s">
        <v>14</v>
      </c>
      <c r="D256" s="8"/>
      <c r="H256" s="12">
        <f>SQRT(H255)</f>
        <v>1.7261554332830869E-2</v>
      </c>
      <c r="M256" s="11">
        <f>SQRT(M255)</f>
        <v>1.618946692210723E-2</v>
      </c>
      <c r="R256" s="11">
        <f>SQRT(R255)</f>
        <v>2.1092322358291882E-2</v>
      </c>
    </row>
    <row r="257" spans="1:18" x14ac:dyDescent="0.25">
      <c r="A257" s="6">
        <v>6</v>
      </c>
      <c r="B257" t="s">
        <v>79</v>
      </c>
      <c r="C257" s="38">
        <f>_xlfn.COVARIANCE.S(D2:D248,K2:K248)</f>
        <v>7.6285058120040999E-5</v>
      </c>
      <c r="D257" s="8"/>
      <c r="H257" s="12"/>
      <c r="M257" s="11"/>
      <c r="R257" s="11">
        <f>_xlfn.COVARIANCE.S(D2:D248,P2:P248)</f>
        <v>1.0922044618999459E-4</v>
      </c>
    </row>
    <row r="258" spans="1:18" x14ac:dyDescent="0.25">
      <c r="A258" s="6"/>
      <c r="D258" s="8"/>
      <c r="H258" s="12"/>
      <c r="M258" s="11"/>
      <c r="R258" s="11"/>
    </row>
    <row r="260" spans="1:18" x14ac:dyDescent="0.25">
      <c r="A260" t="s">
        <v>15</v>
      </c>
    </row>
    <row r="261" spans="1:18" x14ac:dyDescent="0.25">
      <c r="A261" t="s">
        <v>5</v>
      </c>
      <c r="B261">
        <f>B2*(1+D253)</f>
        <v>3752.1975119075719</v>
      </c>
      <c r="C261">
        <f>B2*(1+D252)</f>
        <v>3752.7568177136809</v>
      </c>
    </row>
    <row r="263" spans="1:18" x14ac:dyDescent="0.25">
      <c r="A263" t="s">
        <v>16</v>
      </c>
    </row>
    <row r="264" spans="1:18" x14ac:dyDescent="0.25">
      <c r="A264" t="s">
        <v>5</v>
      </c>
      <c r="B264">
        <f>(B2*(1+G254))</f>
        <v>3752.7568177136809</v>
      </c>
    </row>
    <row r="265" spans="1:18" x14ac:dyDescent="0.25">
      <c r="B265" s="5">
        <f>B264*(1.7262%)</f>
        <v>64.780088187373565</v>
      </c>
      <c r="C265" t="s">
        <v>17</v>
      </c>
    </row>
    <row r="266" spans="1:18" x14ac:dyDescent="0.25">
      <c r="B266" s="5">
        <f>B264-B265</f>
        <v>3687.9767295263073</v>
      </c>
    </row>
    <row r="267" spans="1:18" x14ac:dyDescent="0.25">
      <c r="A267" t="s">
        <v>18</v>
      </c>
      <c r="B267" t="s">
        <v>19</v>
      </c>
    </row>
    <row r="270" spans="1:18" x14ac:dyDescent="0.25">
      <c r="B270" s="14" t="s">
        <v>21</v>
      </c>
      <c r="C270" s="15">
        <f>D252*30</f>
        <v>2.5257235814600328E-2</v>
      </c>
    </row>
    <row r="271" spans="1:18" x14ac:dyDescent="0.25">
      <c r="B271" s="14" t="s">
        <v>22</v>
      </c>
      <c r="C271" s="16">
        <f>D253*30</f>
        <v>2.0782312040525941E-2</v>
      </c>
    </row>
    <row r="272" spans="1:18" x14ac:dyDescent="0.25">
      <c r="B272" s="14" t="s">
        <v>6</v>
      </c>
      <c r="C272" s="16">
        <f>G254*30</f>
        <v>2.5257235814600307E-2</v>
      </c>
    </row>
    <row r="273" spans="2:3" x14ac:dyDescent="0.25">
      <c r="B273" s="14" t="s">
        <v>13</v>
      </c>
      <c r="C273" s="16">
        <f>H255*30</f>
        <v>8.9388377395581645E-3</v>
      </c>
    </row>
    <row r="274" spans="2:3" x14ac:dyDescent="0.25">
      <c r="B274" s="14" t="s">
        <v>20</v>
      </c>
      <c r="C274" s="16">
        <f>H256*30</f>
        <v>0.51784662998492603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>
      <selection activeCell="B1" sqref="B1"/>
    </sheetView>
  </sheetViews>
  <sheetFormatPr defaultRowHeight="15" x14ac:dyDescent="0.25"/>
  <cols>
    <col min="1" max="1" width="9.7109375" bestFit="1" customWidth="1"/>
  </cols>
  <sheetData>
    <row r="1" spans="1:2" ht="60" x14ac:dyDescent="0.25">
      <c r="A1" t="s">
        <v>0</v>
      </c>
      <c r="B1" s="4" t="s">
        <v>1</v>
      </c>
    </row>
    <row r="2" spans="1:2" x14ac:dyDescent="0.25">
      <c r="A2" s="1">
        <v>45962</v>
      </c>
      <c r="B2" s="2">
        <v>3749.6</v>
      </c>
    </row>
    <row r="3" spans="1:2" x14ac:dyDescent="0.25">
      <c r="A3" s="1">
        <v>45931</v>
      </c>
      <c r="B3" s="2">
        <v>3487.2</v>
      </c>
    </row>
    <row r="4" spans="1:2" x14ac:dyDescent="0.25">
      <c r="A4" s="1">
        <v>45901</v>
      </c>
      <c r="B4" s="2">
        <v>3427</v>
      </c>
    </row>
    <row r="5" spans="1:2" x14ac:dyDescent="0.25">
      <c r="A5" s="1">
        <v>45870</v>
      </c>
      <c r="B5" s="2">
        <v>3199.5</v>
      </c>
    </row>
    <row r="6" spans="1:2" x14ac:dyDescent="0.25">
      <c r="A6" s="1">
        <v>45839</v>
      </c>
      <c r="B6" s="2">
        <v>3203.1</v>
      </c>
    </row>
    <row r="7" spans="1:2" x14ac:dyDescent="0.25">
      <c r="A7" s="1">
        <v>45809</v>
      </c>
      <c r="B7" s="2">
        <v>3183.2</v>
      </c>
    </row>
    <row r="8" spans="1:2" x14ac:dyDescent="0.25">
      <c r="A8" s="1">
        <v>45778</v>
      </c>
      <c r="B8" s="2">
        <v>2976.8</v>
      </c>
    </row>
    <row r="9" spans="1:2" x14ac:dyDescent="0.25">
      <c r="A9" s="1">
        <v>45748</v>
      </c>
      <c r="B9" s="2">
        <v>2928.8</v>
      </c>
    </row>
    <row r="10" spans="1:2" x14ac:dyDescent="0.25">
      <c r="A10" s="1">
        <v>45717</v>
      </c>
      <c r="B10" s="2">
        <v>2665.8</v>
      </c>
    </row>
    <row r="11" spans="1:2" x14ac:dyDescent="0.25">
      <c r="A11" s="1">
        <v>45689</v>
      </c>
      <c r="B11" s="2">
        <v>2585.1</v>
      </c>
    </row>
    <row r="12" spans="1:2" x14ac:dyDescent="0.25">
      <c r="A12" s="1">
        <v>45658</v>
      </c>
      <c r="B12" s="2">
        <v>2989.85</v>
      </c>
    </row>
    <row r="13" spans="1:2" x14ac:dyDescent="0.25">
      <c r="A13" s="1">
        <v>45627</v>
      </c>
      <c r="B13" s="2">
        <v>3007.1</v>
      </c>
    </row>
    <row r="14" spans="1:2" x14ac:dyDescent="0.25">
      <c r="A14" s="1">
        <v>45597</v>
      </c>
      <c r="B14" s="2">
        <v>2966.1</v>
      </c>
    </row>
    <row r="15" spans="1:2" x14ac:dyDescent="0.25">
      <c r="A15" s="1">
        <v>45566</v>
      </c>
      <c r="B15" s="2">
        <v>2728.55</v>
      </c>
    </row>
    <row r="16" spans="1:2" x14ac:dyDescent="0.25">
      <c r="A16" s="1">
        <v>45536</v>
      </c>
      <c r="B16" s="2">
        <v>3094.9</v>
      </c>
    </row>
    <row r="17" spans="1:2" x14ac:dyDescent="0.25">
      <c r="A17" s="1">
        <v>45505</v>
      </c>
      <c r="B17" s="2">
        <v>2805.4</v>
      </c>
    </row>
    <row r="18" spans="1:2" x14ac:dyDescent="0.25">
      <c r="A18" s="1">
        <v>45474</v>
      </c>
      <c r="B18" s="2">
        <v>2907.8</v>
      </c>
    </row>
    <row r="19" spans="1:2" x14ac:dyDescent="0.25">
      <c r="A19" s="1">
        <v>45444</v>
      </c>
      <c r="B19" s="2">
        <v>2866.65</v>
      </c>
    </row>
    <row r="20" spans="1:2" x14ac:dyDescent="0.25">
      <c r="A20" s="1">
        <v>45413</v>
      </c>
      <c r="B20" s="2">
        <v>2506.25</v>
      </c>
    </row>
    <row r="21" spans="1:2" x14ac:dyDescent="0.25">
      <c r="A21" s="1">
        <v>45383</v>
      </c>
      <c r="B21" s="2">
        <v>2156.35</v>
      </c>
    </row>
    <row r="22" spans="1:2" x14ac:dyDescent="0.25">
      <c r="A22" s="1">
        <v>45352</v>
      </c>
      <c r="B22" s="2">
        <v>1921.35</v>
      </c>
    </row>
    <row r="23" spans="1:2" x14ac:dyDescent="0.25">
      <c r="A23" s="1">
        <v>45323</v>
      </c>
      <c r="B23" s="2">
        <v>1932.4</v>
      </c>
    </row>
    <row r="24" spans="1:2" x14ac:dyDescent="0.25">
      <c r="A24" s="1">
        <v>45292</v>
      </c>
      <c r="B24" s="2">
        <v>1651.55</v>
      </c>
    </row>
    <row r="25" spans="1:2" x14ac:dyDescent="0.25">
      <c r="A25" s="1">
        <v>45261</v>
      </c>
      <c r="B25" s="2">
        <v>1729.4</v>
      </c>
    </row>
    <row r="26" spans="1:2" x14ac:dyDescent="0.25">
      <c r="A26" s="1">
        <v>45231</v>
      </c>
      <c r="B26" s="2">
        <v>1647.75</v>
      </c>
    </row>
    <row r="27" spans="1:2" x14ac:dyDescent="0.25">
      <c r="A27" s="1">
        <v>45200</v>
      </c>
      <c r="B27" s="2">
        <v>1458.6</v>
      </c>
    </row>
    <row r="28" spans="1:2" x14ac:dyDescent="0.25">
      <c r="A28" s="1">
        <v>45170</v>
      </c>
      <c r="B28" s="2">
        <v>1554.25</v>
      </c>
    </row>
    <row r="29" spans="1:2" x14ac:dyDescent="0.25">
      <c r="A29" s="1">
        <v>45139</v>
      </c>
      <c r="B29" s="2">
        <v>1575.4</v>
      </c>
    </row>
    <row r="30" spans="1:2" x14ac:dyDescent="0.25">
      <c r="A30" s="1">
        <v>45108</v>
      </c>
      <c r="B30" s="2">
        <v>1475.2</v>
      </c>
    </row>
    <row r="31" spans="1:2" x14ac:dyDescent="0.25">
      <c r="A31" s="1">
        <v>45078</v>
      </c>
      <c r="B31" s="2">
        <v>1453.6</v>
      </c>
    </row>
    <row r="32" spans="1:2" x14ac:dyDescent="0.25">
      <c r="A32" s="1">
        <v>45047</v>
      </c>
      <c r="B32" s="2">
        <v>1319</v>
      </c>
    </row>
    <row r="33" spans="1:2" x14ac:dyDescent="0.25">
      <c r="A33" s="1">
        <v>45017</v>
      </c>
      <c r="B33" s="2">
        <v>1226.9000000000001</v>
      </c>
    </row>
    <row r="34" spans="1:2" x14ac:dyDescent="0.25">
      <c r="A34" s="1">
        <v>44986</v>
      </c>
      <c r="B34" s="2">
        <v>1158.7</v>
      </c>
    </row>
    <row r="35" spans="1:2" x14ac:dyDescent="0.25">
      <c r="A35" s="1">
        <v>44958</v>
      </c>
      <c r="B35" s="2">
        <v>1269.5999999999999</v>
      </c>
    </row>
    <row r="36" spans="1:2" x14ac:dyDescent="0.25">
      <c r="A36" s="1">
        <v>44927</v>
      </c>
      <c r="B36" s="2">
        <v>1378.75</v>
      </c>
    </row>
    <row r="37" spans="1:2" x14ac:dyDescent="0.25">
      <c r="A37" s="1">
        <v>44896</v>
      </c>
      <c r="B37" s="2">
        <v>1249.2</v>
      </c>
    </row>
    <row r="38" spans="1:2" x14ac:dyDescent="0.25">
      <c r="A38" s="1">
        <v>44866</v>
      </c>
      <c r="B38" s="2">
        <v>1305.5999999999999</v>
      </c>
    </row>
    <row r="39" spans="1:2" x14ac:dyDescent="0.25">
      <c r="A39" s="1">
        <v>44835</v>
      </c>
      <c r="B39" s="2">
        <v>1348.6</v>
      </c>
    </row>
    <row r="40" spans="1:2" x14ac:dyDescent="0.25">
      <c r="A40" s="1">
        <v>44805</v>
      </c>
      <c r="B40" s="2">
        <v>1268.2</v>
      </c>
    </row>
    <row r="41" spans="1:2" x14ac:dyDescent="0.25">
      <c r="A41" s="1">
        <v>44774</v>
      </c>
      <c r="B41" s="2">
        <v>1308.7</v>
      </c>
    </row>
    <row r="42" spans="1:2" x14ac:dyDescent="0.25">
      <c r="A42" s="1">
        <v>44743</v>
      </c>
      <c r="B42" s="2">
        <v>1164.45</v>
      </c>
    </row>
    <row r="43" spans="1:2" x14ac:dyDescent="0.25">
      <c r="A43" s="1">
        <v>44713</v>
      </c>
      <c r="B43" s="2">
        <v>1093.1500000000001</v>
      </c>
    </row>
    <row r="44" spans="1:2" x14ac:dyDescent="0.25">
      <c r="A44" s="1">
        <v>44682</v>
      </c>
      <c r="B44" s="2">
        <v>1034.3499999999999</v>
      </c>
    </row>
    <row r="45" spans="1:2" x14ac:dyDescent="0.25">
      <c r="A45" s="1">
        <v>44652</v>
      </c>
      <c r="B45">
        <v>922.1</v>
      </c>
    </row>
    <row r="46" spans="1:2" x14ac:dyDescent="0.25">
      <c r="A46" s="1">
        <v>44621</v>
      </c>
      <c r="B46">
        <v>806.55</v>
      </c>
    </row>
    <row r="47" spans="1:2" x14ac:dyDescent="0.25">
      <c r="A47" s="1">
        <v>44593</v>
      </c>
      <c r="B47">
        <v>790.85</v>
      </c>
    </row>
    <row r="48" spans="1:2" x14ac:dyDescent="0.25">
      <c r="A48" s="1">
        <v>44562</v>
      </c>
      <c r="B48">
        <v>885.8</v>
      </c>
    </row>
    <row r="49" spans="1:2" x14ac:dyDescent="0.25">
      <c r="A49" s="1">
        <v>44531</v>
      </c>
      <c r="B49">
        <v>837.15</v>
      </c>
    </row>
    <row r="50" spans="1:2" x14ac:dyDescent="0.25">
      <c r="A50" s="1">
        <v>44501</v>
      </c>
      <c r="B50">
        <v>835.5</v>
      </c>
    </row>
    <row r="51" spans="1:2" x14ac:dyDescent="0.25">
      <c r="A51" s="1">
        <v>44470</v>
      </c>
      <c r="B51">
        <v>884.25</v>
      </c>
    </row>
    <row r="52" spans="1:2" x14ac:dyDescent="0.25">
      <c r="A52" s="1">
        <v>44440</v>
      </c>
      <c r="B52">
        <v>803.05</v>
      </c>
    </row>
    <row r="53" spans="1:2" x14ac:dyDescent="0.25">
      <c r="A53" s="1">
        <v>44409</v>
      </c>
      <c r="B53">
        <v>793.3</v>
      </c>
    </row>
    <row r="54" spans="1:2" x14ac:dyDescent="0.25">
      <c r="A54" s="1">
        <v>44378</v>
      </c>
      <c r="B54">
        <v>743.1</v>
      </c>
    </row>
    <row r="55" spans="1:2" x14ac:dyDescent="0.25">
      <c r="A55" s="1">
        <v>44348</v>
      </c>
      <c r="B55">
        <v>777.7</v>
      </c>
    </row>
    <row r="56" spans="1:2" x14ac:dyDescent="0.25">
      <c r="A56" s="1">
        <v>44317</v>
      </c>
      <c r="B56">
        <v>807.95</v>
      </c>
    </row>
    <row r="57" spans="1:2" x14ac:dyDescent="0.25">
      <c r="A57" s="1">
        <v>44287</v>
      </c>
      <c r="B57">
        <v>752.55</v>
      </c>
    </row>
    <row r="58" spans="1:2" x14ac:dyDescent="0.25">
      <c r="A58" s="1">
        <v>44256</v>
      </c>
      <c r="B58">
        <v>795.25</v>
      </c>
    </row>
    <row r="59" spans="1:2" x14ac:dyDescent="0.25">
      <c r="A59" s="1">
        <v>44228</v>
      </c>
      <c r="B59">
        <v>806.4</v>
      </c>
    </row>
    <row r="60" spans="1:2" x14ac:dyDescent="0.25">
      <c r="A60" s="1">
        <v>44197</v>
      </c>
      <c r="B60">
        <v>749.6</v>
      </c>
    </row>
    <row r="61" spans="1:2" x14ac:dyDescent="0.25">
      <c r="A61" s="1">
        <v>44166</v>
      </c>
      <c r="B61">
        <v>720.6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0"/>
  <sheetViews>
    <sheetView workbookViewId="0">
      <selection activeCell="H6" sqref="H6"/>
    </sheetView>
  </sheetViews>
  <sheetFormatPr defaultRowHeight="19.5" x14ac:dyDescent="0.3"/>
  <cols>
    <col min="1" max="1" width="15.140625" style="17" bestFit="1" customWidth="1"/>
    <col min="2" max="2" width="12.7109375" style="17" bestFit="1" customWidth="1"/>
    <col min="3" max="3" width="19.28515625" style="17" bestFit="1" customWidth="1"/>
    <col min="4" max="4" width="9.140625" style="17"/>
    <col min="5" max="5" width="11.140625" style="17" bestFit="1" customWidth="1"/>
    <col min="6" max="6" width="12.140625" style="17" customWidth="1"/>
    <col min="7" max="13" width="9.140625" style="17"/>
    <col min="14" max="14" width="21.5703125" style="17" customWidth="1"/>
    <col min="15" max="15" width="13.85546875" style="17" customWidth="1"/>
    <col min="16" max="16" width="9.140625" style="17"/>
    <col min="17" max="17" width="18.85546875" style="17" bestFit="1" customWidth="1"/>
    <col min="18" max="18" width="32.140625" style="17" bestFit="1" customWidth="1"/>
    <col min="19" max="19" width="19.7109375" style="17" bestFit="1" customWidth="1"/>
    <col min="20" max="16384" width="9.140625" style="17"/>
  </cols>
  <sheetData>
    <row r="1" spans="1:22" s="21" customFormat="1" x14ac:dyDescent="0.3">
      <c r="A1" s="21" t="s">
        <v>0</v>
      </c>
      <c r="B1" s="21" t="s">
        <v>34</v>
      </c>
      <c r="C1" s="21" t="s">
        <v>35</v>
      </c>
      <c r="D1" s="21" t="s">
        <v>36</v>
      </c>
      <c r="E1" s="21" t="s">
        <v>37</v>
      </c>
      <c r="F1" s="21" t="s">
        <v>67</v>
      </c>
      <c r="N1" s="21" t="s">
        <v>23</v>
      </c>
    </row>
    <row r="2" spans="1:22" x14ac:dyDescent="0.3">
      <c r="A2" s="18">
        <v>45982</v>
      </c>
      <c r="B2" s="19">
        <v>26068.15</v>
      </c>
      <c r="C2" s="20">
        <f>LN(B2/B3)</f>
        <v>-4.7454849169532316E-3</v>
      </c>
      <c r="D2" s="22">
        <f>'Daily Retun &amp; Risk'!D2</f>
        <v>8.8129898186936079E-3</v>
      </c>
      <c r="E2" s="23">
        <f>6.53%/365</f>
        <v>1.789041095890411E-4</v>
      </c>
      <c r="F2" s="22">
        <f>E2+((C2-E2)*$O$27)</f>
        <v>-6.4272502084685695E-3</v>
      </c>
      <c r="N2" s="17" t="s">
        <v>24</v>
      </c>
      <c r="O2" s="17" t="s">
        <v>25</v>
      </c>
    </row>
    <row r="3" spans="1:22" x14ac:dyDescent="0.3">
      <c r="A3" s="18">
        <v>45981</v>
      </c>
      <c r="B3" s="19">
        <v>26192.15</v>
      </c>
      <c r="C3" s="20">
        <f t="shared" ref="C3:C66" si="0">LN(B3/B4)</f>
        <v>5.3402570791968307E-3</v>
      </c>
      <c r="D3" s="22">
        <f>'Daily Retun &amp; Risk'!D3</f>
        <v>-1.5593077683612132E-3</v>
      </c>
      <c r="E3" s="23">
        <f t="shared" ref="E3:E66" si="1">6.53%/365</f>
        <v>1.789041095890411E-4</v>
      </c>
      <c r="F3" s="22">
        <f t="shared" ref="F3:F66" si="2">E3+((C3-E3)*$O$27)</f>
        <v>7.1029497167524984E-3</v>
      </c>
      <c r="N3" s="17" t="s">
        <v>26</v>
      </c>
      <c r="O3" s="17" t="s">
        <v>27</v>
      </c>
      <c r="R3" s="17" t="s">
        <v>33</v>
      </c>
    </row>
    <row r="4" spans="1:22" x14ac:dyDescent="0.3">
      <c r="A4" s="18">
        <v>45980</v>
      </c>
      <c r="B4" s="19">
        <v>26052.65</v>
      </c>
      <c r="C4" s="20">
        <f t="shared" si="0"/>
        <v>5.488566143699687E-3</v>
      </c>
      <c r="D4" s="22">
        <f>'Daily Retun &amp; Risk'!D4</f>
        <v>7.4690598397089986E-3</v>
      </c>
      <c r="E4" s="23">
        <f t="shared" si="1"/>
        <v>1.789041095890411E-4</v>
      </c>
      <c r="F4" s="22">
        <f t="shared" si="2"/>
        <v>7.301908930086743E-3</v>
      </c>
      <c r="N4" s="17" t="s">
        <v>28</v>
      </c>
      <c r="O4" s="17" t="s">
        <v>29</v>
      </c>
    </row>
    <row r="5" spans="1:22" x14ac:dyDescent="0.3">
      <c r="A5" s="18">
        <v>45979</v>
      </c>
      <c r="B5" s="19">
        <v>25910.05</v>
      </c>
      <c r="C5" s="20">
        <f t="shared" si="0"/>
        <v>-3.9827876272854204E-3</v>
      </c>
      <c r="D5" s="22">
        <f>'Daily Retun &amp; Risk'!D5</f>
        <v>-1.0794618728325581E-2</v>
      </c>
      <c r="E5" s="23">
        <f t="shared" si="1"/>
        <v>1.789041095890411E-4</v>
      </c>
      <c r="F5" s="22">
        <f t="shared" si="2"/>
        <v>-5.4040784065754709E-3</v>
      </c>
      <c r="N5" s="17" t="s">
        <v>30</v>
      </c>
      <c r="O5" s="17" t="s">
        <v>31</v>
      </c>
    </row>
    <row r="6" spans="1:22" x14ac:dyDescent="0.3">
      <c r="A6" s="18">
        <v>45978</v>
      </c>
      <c r="B6" s="19">
        <v>26013.45</v>
      </c>
      <c r="C6" s="20">
        <f t="shared" si="0"/>
        <v>3.9827876272855566E-3</v>
      </c>
      <c r="D6" s="22">
        <f>'Daily Retun &amp; Risk'!D6</f>
        <v>9.7666747960045083E-3</v>
      </c>
      <c r="E6" s="23">
        <f t="shared" si="1"/>
        <v>1.789041095890411E-4</v>
      </c>
      <c r="F6" s="22">
        <f t="shared" si="2"/>
        <v>5.2818806190350672E-3</v>
      </c>
      <c r="N6" s="17" t="s">
        <v>32</v>
      </c>
      <c r="O6" s="17" t="s">
        <v>68</v>
      </c>
    </row>
    <row r="7" spans="1:22" x14ac:dyDescent="0.3">
      <c r="A7" s="18">
        <v>45975</v>
      </c>
      <c r="B7" s="19">
        <v>25910.05</v>
      </c>
      <c r="C7" s="20">
        <f t="shared" si="0"/>
        <v>1.193299130579461E-3</v>
      </c>
      <c r="D7" s="22">
        <f>'Daily Retun &amp; Risk'!D7</f>
        <v>-2.4330571482942276E-4</v>
      </c>
      <c r="E7" s="23">
        <f t="shared" si="1"/>
        <v>1.789041095890411E-4</v>
      </c>
      <c r="F7" s="22">
        <f t="shared" si="2"/>
        <v>1.5397328361605029E-3</v>
      </c>
      <c r="N7" s="17" t="s">
        <v>38</v>
      </c>
    </row>
    <row r="8" spans="1:22" x14ac:dyDescent="0.3">
      <c r="A8" s="18">
        <v>45974</v>
      </c>
      <c r="B8" s="19">
        <v>25879.15</v>
      </c>
      <c r="C8" s="20">
        <f t="shared" si="0"/>
        <v>1.2945621644613778E-4</v>
      </c>
      <c r="D8" s="22">
        <f>'Daily Retun &amp; Risk'!D8</f>
        <v>-1.470417434542628E-2</v>
      </c>
      <c r="E8" s="23">
        <f t="shared" si="1"/>
        <v>1.789041095890411E-4</v>
      </c>
      <c r="F8" s="22">
        <f t="shared" si="2"/>
        <v>1.1256889296741461E-4</v>
      </c>
    </row>
    <row r="9" spans="1:22" x14ac:dyDescent="0.3">
      <c r="A9" s="18">
        <v>45973</v>
      </c>
      <c r="B9" s="19">
        <v>25875.8</v>
      </c>
      <c r="C9" s="20">
        <f t="shared" si="0"/>
        <v>7.0136944435542489E-3</v>
      </c>
      <c r="D9" s="22">
        <f>'Daily Retun &amp; Risk'!D9</f>
        <v>1.3860385511842454E-3</v>
      </c>
      <c r="E9" s="23">
        <f t="shared" si="1"/>
        <v>1.789041095890411E-4</v>
      </c>
      <c r="F9" s="22">
        <f t="shared" si="2"/>
        <v>9.3478953152750267E-3</v>
      </c>
    </row>
    <row r="10" spans="1:22" ht="21" x14ac:dyDescent="0.35">
      <c r="A10" s="18">
        <v>45972</v>
      </c>
      <c r="B10" s="19">
        <v>25694.95</v>
      </c>
      <c r="C10" s="20">
        <f t="shared" si="0"/>
        <v>4.7045784684853244E-3</v>
      </c>
      <c r="D10" s="22">
        <f>'Daily Retun &amp; Risk'!D10</f>
        <v>2.2987657314695008E-2</v>
      </c>
      <c r="E10" s="23">
        <f t="shared" si="1"/>
        <v>1.789041095890411E-4</v>
      </c>
      <c r="F10" s="22">
        <f t="shared" si="2"/>
        <v>6.2501757022678361E-3</v>
      </c>
      <c r="N10" s="24" t="s">
        <v>39</v>
      </c>
      <c r="O10" s="24"/>
      <c r="P10" s="24"/>
      <c r="Q10" s="24"/>
      <c r="R10" s="24"/>
      <c r="S10" s="24"/>
      <c r="T10" s="24"/>
      <c r="U10" s="24"/>
      <c r="V10" s="24"/>
    </row>
    <row r="11" spans="1:22" ht="21.75" thickBot="1" x14ac:dyDescent="0.4">
      <c r="A11" s="18">
        <v>45971</v>
      </c>
      <c r="B11" s="19">
        <v>25574.35</v>
      </c>
      <c r="C11" s="20">
        <f t="shared" si="0"/>
        <v>3.2134502892125225E-3</v>
      </c>
      <c r="D11" s="22">
        <f>'Daily Retun &amp; Risk'!D11</f>
        <v>-7.152503262629388E-3</v>
      </c>
      <c r="E11" s="23">
        <f t="shared" si="1"/>
        <v>1.789041095890411E-4</v>
      </c>
      <c r="F11" s="22">
        <f t="shared" si="2"/>
        <v>4.2498010756520446E-3</v>
      </c>
      <c r="N11" s="24"/>
      <c r="O11" s="24"/>
      <c r="P11" s="24"/>
      <c r="Q11" s="24"/>
      <c r="R11" s="24"/>
      <c r="S11" s="24"/>
      <c r="T11" s="24"/>
      <c r="U11" s="24"/>
      <c r="V11" s="24"/>
    </row>
    <row r="12" spans="1:22" ht="21" x14ac:dyDescent="0.35">
      <c r="A12" s="18">
        <v>45968</v>
      </c>
      <c r="B12" s="19">
        <v>25492.3</v>
      </c>
      <c r="C12" s="20">
        <f t="shared" si="0"/>
        <v>-6.8232620975946482E-4</v>
      </c>
      <c r="D12" s="22">
        <f>'Daily Retun &amp; Risk'!D12</f>
        <v>1.9621081801599636E-2</v>
      </c>
      <c r="E12" s="23">
        <f t="shared" si="1"/>
        <v>1.789041095890411E-4</v>
      </c>
      <c r="F12" s="22">
        <f t="shared" si="2"/>
        <v>-9.7645148119399885E-4</v>
      </c>
      <c r="N12" s="25" t="s">
        <v>40</v>
      </c>
      <c r="O12" s="25"/>
      <c r="P12" s="24"/>
      <c r="Q12" s="24"/>
      <c r="R12" s="24"/>
      <c r="S12" s="24"/>
      <c r="T12" s="24"/>
      <c r="U12" s="24"/>
      <c r="V12" s="24"/>
    </row>
    <row r="13" spans="1:22" ht="21" x14ac:dyDescent="0.35">
      <c r="A13" s="18">
        <v>45967</v>
      </c>
      <c r="B13" s="19">
        <v>25509.7</v>
      </c>
      <c r="C13" s="20">
        <f t="shared" si="0"/>
        <v>-3.4417784064369639E-3</v>
      </c>
      <c r="D13" s="22">
        <f>'Daily Retun &amp; Risk'!D13</f>
        <v>1.0361635546181585E-2</v>
      </c>
      <c r="E13" s="23">
        <f t="shared" si="1"/>
        <v>1.789041095890411E-4</v>
      </c>
      <c r="F13" s="22">
        <f t="shared" si="2"/>
        <v>-4.6783050403460084E-3</v>
      </c>
      <c r="N13" s="26" t="s">
        <v>41</v>
      </c>
      <c r="O13" s="26">
        <v>0.59236625223543315</v>
      </c>
      <c r="P13" s="24"/>
      <c r="Q13" s="24"/>
      <c r="R13" s="24"/>
      <c r="S13" s="24"/>
      <c r="T13" s="24"/>
      <c r="U13" s="24"/>
      <c r="V13" s="24"/>
    </row>
    <row r="14" spans="1:22" ht="21" x14ac:dyDescent="0.35">
      <c r="A14" s="18">
        <v>45965</v>
      </c>
      <c r="B14" s="19">
        <v>25597.65</v>
      </c>
      <c r="C14" s="20">
        <f t="shared" si="0"/>
        <v>-6.4523889677539662E-3</v>
      </c>
      <c r="D14" s="22">
        <f>'Daily Retun &amp; Risk'!D14</f>
        <v>9.0602434617359229E-3</v>
      </c>
      <c r="E14" s="23">
        <f t="shared" si="1"/>
        <v>1.789041095890411E-4</v>
      </c>
      <c r="F14" s="22">
        <f t="shared" si="2"/>
        <v>-8.7170919543033687E-3</v>
      </c>
      <c r="N14" s="30" t="s">
        <v>42</v>
      </c>
      <c r="O14" s="31">
        <v>0.35089777678745282</v>
      </c>
      <c r="P14" s="24"/>
      <c r="Q14" s="24"/>
      <c r="R14" s="24"/>
      <c r="S14" s="24"/>
      <c r="T14" s="24"/>
      <c r="U14" s="24"/>
      <c r="V14" s="24"/>
    </row>
    <row r="15" spans="1:22" ht="21" x14ac:dyDescent="0.35">
      <c r="A15" s="18">
        <v>45964</v>
      </c>
      <c r="B15" s="19">
        <v>25763.35</v>
      </c>
      <c r="C15" s="20">
        <f t="shared" si="0"/>
        <v>1.6023948057699113E-3</v>
      </c>
      <c r="D15" s="22">
        <f>'Daily Retun &amp; Risk'!D15</f>
        <v>1.7538574374082128E-2</v>
      </c>
      <c r="E15" s="23">
        <f t="shared" si="1"/>
        <v>1.789041095890411E-4</v>
      </c>
      <c r="F15" s="22">
        <f t="shared" si="2"/>
        <v>2.0885418653804628E-3</v>
      </c>
      <c r="N15" s="26" t="s">
        <v>43</v>
      </c>
      <c r="O15" s="26">
        <v>0.34824837995801383</v>
      </c>
      <c r="P15" s="24"/>
      <c r="Q15" s="24"/>
      <c r="R15" s="24"/>
      <c r="S15" s="24"/>
      <c r="T15" s="24"/>
      <c r="U15" s="24"/>
      <c r="V15" s="24"/>
    </row>
    <row r="16" spans="1:22" ht="21" x14ac:dyDescent="0.35">
      <c r="A16" s="18">
        <v>45961</v>
      </c>
      <c r="B16" s="19">
        <v>25722.1</v>
      </c>
      <c r="C16" s="20">
        <f t="shared" si="0"/>
        <v>-6.0368458886522298E-3</v>
      </c>
      <c r="D16" s="22">
        <f>'Daily Retun &amp; Risk'!D16</f>
        <v>-4.2636666252898617E-3</v>
      </c>
      <c r="E16" s="23">
        <f t="shared" si="1"/>
        <v>1.789041095890411E-4</v>
      </c>
      <c r="F16" s="22">
        <f t="shared" si="2"/>
        <v>-8.1596336195636325E-3</v>
      </c>
      <c r="N16" s="26" t="s">
        <v>44</v>
      </c>
      <c r="O16" s="26">
        <v>1.3963744133070145E-2</v>
      </c>
      <c r="P16" s="24"/>
      <c r="Q16" s="24"/>
      <c r="R16" s="24"/>
      <c r="S16" s="24"/>
      <c r="T16" s="24"/>
      <c r="U16" s="24"/>
      <c r="V16" s="24"/>
    </row>
    <row r="17" spans="1:22" ht="21.75" thickBot="1" x14ac:dyDescent="0.4">
      <c r="A17" s="18">
        <v>45960</v>
      </c>
      <c r="B17" s="19">
        <v>25877.85</v>
      </c>
      <c r="C17" s="20">
        <f t="shared" si="0"/>
        <v>-6.7800786382074861E-3</v>
      </c>
      <c r="D17" s="22">
        <f>'Daily Retun &amp; Risk'!D17</f>
        <v>-9.2656415504890344E-3</v>
      </c>
      <c r="E17" s="23">
        <f t="shared" si="1"/>
        <v>1.789041095890411E-4</v>
      </c>
      <c r="F17" s="22">
        <f t="shared" si="2"/>
        <v>-9.1566933992301147E-3</v>
      </c>
      <c r="N17" s="27" t="s">
        <v>45</v>
      </c>
      <c r="O17" s="27">
        <v>247</v>
      </c>
      <c r="P17" s="24"/>
      <c r="Q17" s="24"/>
      <c r="R17" s="24"/>
      <c r="S17" s="24"/>
      <c r="T17" s="24"/>
      <c r="U17" s="24"/>
      <c r="V17" s="24"/>
    </row>
    <row r="18" spans="1:22" ht="21" x14ac:dyDescent="0.35">
      <c r="A18" s="18">
        <v>45959</v>
      </c>
      <c r="B18" s="19">
        <v>26053.9</v>
      </c>
      <c r="C18" s="20">
        <f t="shared" si="0"/>
        <v>4.5277928328536733E-3</v>
      </c>
      <c r="D18" s="22">
        <f>'Daily Retun &amp; Risk'!D18</f>
        <v>-1.2482942041305137E-2</v>
      </c>
      <c r="E18" s="23">
        <f t="shared" si="1"/>
        <v>1.789041095890411E-4</v>
      </c>
      <c r="F18" s="22">
        <f t="shared" si="2"/>
        <v>6.0130146689084084E-3</v>
      </c>
      <c r="N18" s="24"/>
      <c r="O18" s="24"/>
      <c r="P18" s="24"/>
      <c r="Q18" s="24"/>
      <c r="R18" s="24"/>
      <c r="S18" s="24"/>
      <c r="T18" s="24"/>
      <c r="U18" s="24"/>
      <c r="V18" s="24"/>
    </row>
    <row r="19" spans="1:22" ht="21.75" thickBot="1" x14ac:dyDescent="0.4">
      <c r="A19" s="18">
        <v>45958</v>
      </c>
      <c r="B19" s="19">
        <v>25936.2</v>
      </c>
      <c r="C19" s="20">
        <f t="shared" si="0"/>
        <v>-1.1502392783005436E-3</v>
      </c>
      <c r="D19" s="22">
        <f>'Daily Retun &amp; Risk'!D19</f>
        <v>-9.0395152920572808E-3</v>
      </c>
      <c r="E19" s="23">
        <f t="shared" si="1"/>
        <v>1.789041095890411E-4</v>
      </c>
      <c r="F19" s="22">
        <f t="shared" si="2"/>
        <v>-1.6041650760292743E-3</v>
      </c>
      <c r="N19" s="24" t="s">
        <v>46</v>
      </c>
      <c r="O19" s="24"/>
      <c r="P19" s="24"/>
      <c r="Q19" s="24"/>
      <c r="R19" s="24"/>
      <c r="S19" s="24"/>
      <c r="T19" s="24"/>
      <c r="U19" s="24"/>
      <c r="V19" s="24"/>
    </row>
    <row r="20" spans="1:22" ht="21" x14ac:dyDescent="0.35">
      <c r="A20" s="18">
        <v>45957</v>
      </c>
      <c r="B20" s="19">
        <v>25966.05</v>
      </c>
      <c r="C20" s="20">
        <f t="shared" si="0"/>
        <v>6.603425771068816E-3</v>
      </c>
      <c r="D20" s="22">
        <f>'Daily Retun &amp; Risk'!D20</f>
        <v>-3.7034008554510693E-3</v>
      </c>
      <c r="E20" s="23">
        <f t="shared" si="1"/>
        <v>1.789041095890411E-4</v>
      </c>
      <c r="F20" s="22">
        <f t="shared" si="2"/>
        <v>8.7975126895939518E-3</v>
      </c>
      <c r="N20" s="28"/>
      <c r="O20" s="28" t="s">
        <v>51</v>
      </c>
      <c r="P20" s="28" t="s">
        <v>52</v>
      </c>
      <c r="Q20" s="28" t="s">
        <v>53</v>
      </c>
      <c r="R20" s="28" t="s">
        <v>54</v>
      </c>
      <c r="S20" s="28" t="s">
        <v>55</v>
      </c>
      <c r="T20" s="24"/>
      <c r="U20" s="24"/>
      <c r="V20" s="24"/>
    </row>
    <row r="21" spans="1:22" ht="21" x14ac:dyDescent="0.35">
      <c r="A21" s="18">
        <v>45954</v>
      </c>
      <c r="B21" s="19">
        <v>25795.15</v>
      </c>
      <c r="C21" s="20">
        <f t="shared" si="0"/>
        <v>-3.7243774737084727E-3</v>
      </c>
      <c r="D21" s="22">
        <f>'Daily Retun &amp; Risk'!D21</f>
        <v>3.8628149364248489E-4</v>
      </c>
      <c r="E21" s="23">
        <f t="shared" si="1"/>
        <v>1.789041095890411E-4</v>
      </c>
      <c r="F21" s="22">
        <f t="shared" si="2"/>
        <v>-5.0574166496181946E-3</v>
      </c>
      <c r="N21" s="26" t="s">
        <v>47</v>
      </c>
      <c r="O21" s="26">
        <v>1</v>
      </c>
      <c r="P21" s="26">
        <v>2.5824823919968667E-2</v>
      </c>
      <c r="Q21" s="26">
        <v>2.5824823919968667E-2</v>
      </c>
      <c r="R21" s="26">
        <v>132.44440126462987</v>
      </c>
      <c r="S21" s="26">
        <v>8.6992858063307488E-25</v>
      </c>
      <c r="T21" s="24"/>
      <c r="U21" s="24"/>
      <c r="V21" s="24"/>
    </row>
    <row r="22" spans="1:22" ht="21" x14ac:dyDescent="0.35">
      <c r="A22" s="18">
        <v>45953</v>
      </c>
      <c r="B22" s="19">
        <v>25891.4</v>
      </c>
      <c r="C22" s="20">
        <f t="shared" si="0"/>
        <v>8.8098923781576393E-4</v>
      </c>
      <c r="D22" s="22">
        <f>'Daily Retun &amp; Risk'!D22</f>
        <v>6.6254419384736832E-4</v>
      </c>
      <c r="E22" s="23">
        <f t="shared" si="1"/>
        <v>1.789041095890411E-4</v>
      </c>
      <c r="F22" s="22">
        <f t="shared" si="2"/>
        <v>1.1207636329694853E-3</v>
      </c>
      <c r="N22" s="26" t="s">
        <v>48</v>
      </c>
      <c r="O22" s="26">
        <v>245</v>
      </c>
      <c r="P22" s="26">
        <v>4.7771606802393479E-2</v>
      </c>
      <c r="Q22" s="26">
        <v>1.9498615021385093E-4</v>
      </c>
      <c r="R22" s="26"/>
      <c r="S22" s="26"/>
      <c r="T22" s="24"/>
      <c r="U22" s="24"/>
      <c r="V22" s="24"/>
    </row>
    <row r="23" spans="1:22" ht="21.75" thickBot="1" x14ac:dyDescent="0.4">
      <c r="A23" s="18">
        <v>45951</v>
      </c>
      <c r="B23" s="19">
        <v>25868.6</v>
      </c>
      <c r="C23" s="20">
        <f t="shared" si="0"/>
        <v>9.8430248656327583E-4</v>
      </c>
      <c r="D23" s="22">
        <f>'Daily Retun &amp; Risk'!D23</f>
        <v>6.121648412293298E-3</v>
      </c>
      <c r="E23" s="23">
        <f t="shared" si="1"/>
        <v>1.789041095890411E-4</v>
      </c>
      <c r="F23" s="22">
        <f t="shared" si="2"/>
        <v>1.2593601696458667E-3</v>
      </c>
      <c r="N23" s="27" t="s">
        <v>49</v>
      </c>
      <c r="O23" s="27">
        <v>246</v>
      </c>
      <c r="P23" s="27">
        <v>7.3596430722362147E-2</v>
      </c>
      <c r="Q23" s="27"/>
      <c r="R23" s="27"/>
      <c r="S23" s="27"/>
      <c r="T23" s="24"/>
      <c r="U23" s="24"/>
      <c r="V23" s="24"/>
    </row>
    <row r="24" spans="1:22" ht="21.75" thickBot="1" x14ac:dyDescent="0.4">
      <c r="A24" s="18">
        <v>45950</v>
      </c>
      <c r="B24" s="19">
        <v>25843.15</v>
      </c>
      <c r="C24" s="20">
        <f t="shared" si="0"/>
        <v>5.1713885544162376E-3</v>
      </c>
      <c r="D24" s="22">
        <f>'Daily Retun &amp; Risk'!D24</f>
        <v>-1.3275935710239554E-2</v>
      </c>
      <c r="E24" s="23">
        <f t="shared" si="1"/>
        <v>1.789041095890411E-4</v>
      </c>
      <c r="F24" s="22">
        <f t="shared" si="2"/>
        <v>6.8764096265706617E-3</v>
      </c>
      <c r="N24" s="24"/>
      <c r="O24" s="24"/>
      <c r="P24" s="24"/>
      <c r="Q24" s="24"/>
      <c r="R24" s="24"/>
      <c r="S24" s="24"/>
      <c r="T24" s="24"/>
      <c r="U24" s="24"/>
      <c r="V24" s="24"/>
    </row>
    <row r="25" spans="1:22" ht="21" x14ac:dyDescent="0.35">
      <c r="A25" s="18">
        <v>45947</v>
      </c>
      <c r="B25" s="19">
        <v>25709.85</v>
      </c>
      <c r="C25" s="20">
        <f t="shared" si="0"/>
        <v>4.8562191462695678E-3</v>
      </c>
      <c r="D25" s="22">
        <f>'Daily Retun &amp; Risk'!D25</f>
        <v>2.3974511197587083E-2</v>
      </c>
      <c r="E25" s="23">
        <f t="shared" si="1"/>
        <v>1.789041095890411E-4</v>
      </c>
      <c r="F25" s="22">
        <f t="shared" si="2"/>
        <v>6.4536043332996448E-3</v>
      </c>
      <c r="N25" s="28"/>
      <c r="O25" s="28" t="s">
        <v>56</v>
      </c>
      <c r="P25" s="28" t="s">
        <v>44</v>
      </c>
      <c r="Q25" s="28" t="s">
        <v>57</v>
      </c>
      <c r="R25" s="28" t="s">
        <v>58</v>
      </c>
      <c r="S25" s="28" t="s">
        <v>59</v>
      </c>
      <c r="T25" s="28" t="s">
        <v>60</v>
      </c>
      <c r="U25" s="28" t="s">
        <v>61</v>
      </c>
      <c r="V25" s="28" t="s">
        <v>62</v>
      </c>
    </row>
    <row r="26" spans="1:22" ht="21" x14ac:dyDescent="0.35">
      <c r="A26" s="18">
        <v>45946</v>
      </c>
      <c r="B26" s="19">
        <v>25585.3</v>
      </c>
      <c r="C26" s="20">
        <f t="shared" si="0"/>
        <v>1.0283174989422342E-2</v>
      </c>
      <c r="D26" s="22">
        <f>'Daily Retun &amp; Risk'!D26</f>
        <v>1.8022590394908718E-2</v>
      </c>
      <c r="E26" s="23">
        <f t="shared" si="1"/>
        <v>1.789041095890411E-4</v>
      </c>
      <c r="F26" s="22">
        <f t="shared" si="2"/>
        <v>1.3733960857512998E-2</v>
      </c>
      <c r="N26" s="26" t="s">
        <v>50</v>
      </c>
      <c r="O26" s="26">
        <v>4.4294445052736023E-4</v>
      </c>
      <c r="P26" s="26">
        <v>8.8916782055794598E-4</v>
      </c>
      <c r="Q26" s="26">
        <v>0.49815618636470221</v>
      </c>
      <c r="R26" s="26">
        <v>0.61882083775041241</v>
      </c>
      <c r="S26" s="26">
        <v>-1.3084439999685759E-3</v>
      </c>
      <c r="T26" s="26">
        <v>2.1943329010232961E-3</v>
      </c>
      <c r="U26" s="26">
        <v>-1.3084439999685759E-3</v>
      </c>
      <c r="V26" s="26">
        <v>2.1943329010232961E-3</v>
      </c>
    </row>
    <row r="27" spans="1:22" ht="21.75" thickBot="1" x14ac:dyDescent="0.4">
      <c r="A27" s="18">
        <v>45945</v>
      </c>
      <c r="B27" s="19">
        <v>25323.55</v>
      </c>
      <c r="C27" s="20">
        <f t="shared" si="0"/>
        <v>7.0558387242180077E-3</v>
      </c>
      <c r="D27" s="22">
        <f>'Daily Retun &amp; Risk'!D27</f>
        <v>1.0751864393858846E-2</v>
      </c>
      <c r="E27" s="23">
        <f t="shared" si="1"/>
        <v>1.789041095890411E-4</v>
      </c>
      <c r="F27" s="22">
        <f t="shared" si="2"/>
        <v>9.4044326075538639E-3</v>
      </c>
      <c r="N27" s="29" t="s">
        <v>32</v>
      </c>
      <c r="O27" s="29">
        <v>1.3415175532336467</v>
      </c>
      <c r="P27" s="27">
        <v>0.11656805696866124</v>
      </c>
      <c r="Q27" s="27">
        <v>11.508449125083274</v>
      </c>
      <c r="R27" s="27">
        <v>8.6992858063305614E-25</v>
      </c>
      <c r="S27" s="27">
        <v>1.1119141600929017</v>
      </c>
      <c r="T27" s="27">
        <v>1.5711209463743918</v>
      </c>
      <c r="U27" s="27">
        <v>1.1119141600929017</v>
      </c>
      <c r="V27" s="27">
        <v>1.5711209463743918</v>
      </c>
    </row>
    <row r="28" spans="1:22" ht="21" x14ac:dyDescent="0.35">
      <c r="A28" s="18">
        <v>45944</v>
      </c>
      <c r="B28" s="19">
        <v>25145.5</v>
      </c>
      <c r="C28" s="20">
        <f t="shared" si="0"/>
        <v>-3.2497693513395339E-3</v>
      </c>
      <c r="D28" s="22">
        <f>'Daily Retun &amp; Risk'!D28</f>
        <v>2.8903822532644718E-5</v>
      </c>
      <c r="E28" s="23">
        <f t="shared" si="1"/>
        <v>1.789041095890411E-4</v>
      </c>
      <c r="F28" s="22">
        <f t="shared" si="2"/>
        <v>-4.4207215225529999E-3</v>
      </c>
      <c r="N28" s="24"/>
      <c r="O28" s="24"/>
      <c r="P28" s="24"/>
      <c r="Q28" s="24"/>
      <c r="R28" s="24"/>
      <c r="S28" s="24"/>
      <c r="T28" s="24"/>
      <c r="U28" s="24"/>
      <c r="V28" s="24"/>
    </row>
    <row r="29" spans="1:22" ht="21" x14ac:dyDescent="0.35">
      <c r="A29" s="18">
        <v>45943</v>
      </c>
      <c r="B29" s="19">
        <v>25227.35</v>
      </c>
      <c r="C29" s="20">
        <f t="shared" si="0"/>
        <v>-2.2964531885856635E-3</v>
      </c>
      <c r="D29" s="22">
        <f>'Daily Retun &amp; Risk'!D29</f>
        <v>1.3883668675048373E-3</v>
      </c>
      <c r="E29" s="23">
        <f t="shared" si="1"/>
        <v>1.789041095890411E-4</v>
      </c>
      <c r="F29" s="22">
        <f t="shared" si="2"/>
        <v>-3.1418311564373391E-3</v>
      </c>
      <c r="N29" s="24"/>
      <c r="O29" s="24"/>
      <c r="P29" s="24"/>
      <c r="Q29" s="24"/>
      <c r="R29" s="24"/>
      <c r="S29" s="24"/>
      <c r="T29" s="24"/>
      <c r="U29" s="24"/>
      <c r="V29" s="24"/>
    </row>
    <row r="30" spans="1:22" ht="21" x14ac:dyDescent="0.35">
      <c r="A30" s="18">
        <v>45940</v>
      </c>
      <c r="B30" s="19">
        <v>25285.35</v>
      </c>
      <c r="C30" s="20">
        <f t="shared" si="0"/>
        <v>4.1036652680295424E-3</v>
      </c>
      <c r="D30" s="22">
        <f>'Daily Retun &amp; Risk'!D30</f>
        <v>3.4793737441037153E-3</v>
      </c>
      <c r="E30" s="23">
        <f t="shared" si="1"/>
        <v>1.789041095890411E-4</v>
      </c>
      <c r="F30" s="22">
        <f t="shared" si="2"/>
        <v>5.4440400958865945E-3</v>
      </c>
      <c r="N30" s="24"/>
      <c r="O30" s="24"/>
      <c r="P30" s="24"/>
      <c r="Q30" s="24"/>
      <c r="R30" s="24"/>
      <c r="S30" s="24"/>
      <c r="T30" s="24"/>
      <c r="U30" s="24"/>
      <c r="V30" s="24"/>
    </row>
    <row r="31" spans="1:22" ht="21" x14ac:dyDescent="0.35">
      <c r="A31" s="18">
        <v>45939</v>
      </c>
      <c r="B31" s="19">
        <v>25181.8</v>
      </c>
      <c r="C31" s="20">
        <f t="shared" si="0"/>
        <v>5.401388262863396E-3</v>
      </c>
      <c r="D31" s="22">
        <f>'Daily Retun &amp; Risk'!D31</f>
        <v>4.7748074528573461E-3</v>
      </c>
      <c r="E31" s="23">
        <f t="shared" si="1"/>
        <v>1.789041095890411E-4</v>
      </c>
      <c r="F31" s="22">
        <f t="shared" si="2"/>
        <v>7.1849582726911457E-3</v>
      </c>
      <c r="N31" s="24" t="s">
        <v>63</v>
      </c>
      <c r="O31" s="24"/>
      <c r="P31" s="24"/>
      <c r="Q31" s="24"/>
      <c r="R31" s="24"/>
      <c r="S31" s="24"/>
      <c r="T31" s="24"/>
      <c r="U31" s="24"/>
      <c r="V31" s="24"/>
    </row>
    <row r="32" spans="1:22" ht="21.75" thickBot="1" x14ac:dyDescent="0.4">
      <c r="A32" s="18">
        <v>45938</v>
      </c>
      <c r="B32" s="19">
        <v>25046.15</v>
      </c>
      <c r="C32" s="20">
        <f t="shared" si="0"/>
        <v>-2.4783456627061593E-3</v>
      </c>
      <c r="D32" s="22">
        <f>'Daily Retun &amp; Risk'!D32</f>
        <v>-1.9164374769801078E-2</v>
      </c>
      <c r="E32" s="23">
        <f t="shared" si="1"/>
        <v>1.789041095890411E-4</v>
      </c>
      <c r="F32" s="22">
        <f t="shared" si="2"/>
        <v>-3.3858431032710813E-3</v>
      </c>
      <c r="N32" s="24"/>
      <c r="O32" s="24"/>
      <c r="P32" s="24"/>
      <c r="Q32" s="24"/>
      <c r="R32" s="24"/>
      <c r="S32" s="24"/>
      <c r="T32" s="24"/>
      <c r="U32" s="24"/>
      <c r="V32" s="24"/>
    </row>
    <row r="33" spans="1:22" ht="21" x14ac:dyDescent="0.35">
      <c r="A33" s="18">
        <v>45937</v>
      </c>
      <c r="B33" s="19">
        <v>25108.3</v>
      </c>
      <c r="C33" s="20">
        <f t="shared" si="0"/>
        <v>1.2214575517932756E-3</v>
      </c>
      <c r="D33" s="22">
        <f>'Daily Retun &amp; Risk'!D33</f>
        <v>5.9729100154386674E-3</v>
      </c>
      <c r="E33" s="23">
        <f t="shared" si="1"/>
        <v>1.789041095890411E-4</v>
      </c>
      <c r="F33" s="22">
        <f t="shared" si="2"/>
        <v>1.5775078524901819E-3</v>
      </c>
      <c r="N33" s="28" t="s">
        <v>64</v>
      </c>
      <c r="O33" s="28" t="s">
        <v>65</v>
      </c>
      <c r="P33" s="28" t="s">
        <v>66</v>
      </c>
      <c r="Q33" s="24"/>
      <c r="R33" s="24"/>
      <c r="S33" s="24"/>
      <c r="T33" s="24"/>
      <c r="U33" s="24"/>
      <c r="V33" s="24"/>
    </row>
    <row r="34" spans="1:22" ht="21" x14ac:dyDescent="0.35">
      <c r="A34" s="18">
        <v>45936</v>
      </c>
      <c r="B34" s="19">
        <v>25077.65</v>
      </c>
      <c r="C34" s="20">
        <f t="shared" si="0"/>
        <v>7.3401581061951155E-3</v>
      </c>
      <c r="D34" s="22">
        <f>'Daily Retun &amp; Risk'!D34</f>
        <v>2.8843400440861284E-3</v>
      </c>
      <c r="E34" s="23">
        <f t="shared" si="1"/>
        <v>1.789041095890411E-4</v>
      </c>
      <c r="F34" s="22">
        <f t="shared" si="2"/>
        <v>9.7858520492006967E-3</v>
      </c>
      <c r="N34" s="26">
        <v>1</v>
      </c>
      <c r="O34" s="26">
        <v>-5.9232068641709148E-3</v>
      </c>
      <c r="P34" s="26">
        <v>1.4736196682864522E-2</v>
      </c>
      <c r="Q34" s="24"/>
      <c r="R34" s="24"/>
      <c r="S34" s="24"/>
      <c r="T34" s="24"/>
      <c r="U34" s="24"/>
      <c r="V34" s="24"/>
    </row>
    <row r="35" spans="1:22" ht="21" x14ac:dyDescent="0.35">
      <c r="A35" s="18">
        <v>45933</v>
      </c>
      <c r="B35" s="19">
        <v>24894.25</v>
      </c>
      <c r="C35" s="20">
        <f t="shared" si="0"/>
        <v>2.3305604393949906E-3</v>
      </c>
      <c r="D35" s="22">
        <f>'Daily Retun &amp; Risk'!D35</f>
        <v>-4.0430878189591388E-4</v>
      </c>
      <c r="E35" s="23">
        <f t="shared" si="1"/>
        <v>1.789041095890411E-4</v>
      </c>
      <c r="F35" s="22">
        <f t="shared" si="2"/>
        <v>3.0653888445500068E-3</v>
      </c>
      <c r="N35" s="26">
        <v>2</v>
      </c>
      <c r="O35" s="26">
        <v>7.606993061050153E-3</v>
      </c>
      <c r="P35" s="26">
        <v>-9.1663008294113665E-3</v>
      </c>
      <c r="Q35" s="24"/>
      <c r="R35" s="24"/>
      <c r="S35" s="24"/>
      <c r="T35" s="24"/>
      <c r="U35" s="24"/>
      <c r="V35" s="24"/>
    </row>
    <row r="36" spans="1:22" ht="21" x14ac:dyDescent="0.35">
      <c r="A36" s="18">
        <v>45931</v>
      </c>
      <c r="B36" s="19">
        <v>24836.3</v>
      </c>
      <c r="C36" s="20">
        <f t="shared" si="0"/>
        <v>9.1087319879058007E-3</v>
      </c>
      <c r="D36" s="22">
        <f>'Daily Retun &amp; Risk'!D36</f>
        <v>1.0565522643441657E-2</v>
      </c>
      <c r="E36" s="23">
        <f t="shared" si="1"/>
        <v>1.789041095890411E-4</v>
      </c>
      <c r="F36" s="22">
        <f t="shared" si="2"/>
        <v>1.2158424955706147E-2</v>
      </c>
      <c r="N36" s="26">
        <v>3</v>
      </c>
      <c r="O36" s="26">
        <v>7.805952274384396E-3</v>
      </c>
      <c r="P36" s="26">
        <v>-3.3689243467539733E-4</v>
      </c>
      <c r="Q36" s="24"/>
      <c r="R36" s="24"/>
      <c r="S36" s="24"/>
      <c r="T36" s="24"/>
      <c r="U36" s="24"/>
      <c r="V36" s="24"/>
    </row>
    <row r="37" spans="1:22" ht="21" x14ac:dyDescent="0.35">
      <c r="A37" s="18">
        <v>45930</v>
      </c>
      <c r="B37" s="19">
        <v>24611.1</v>
      </c>
      <c r="C37" s="20">
        <f t="shared" si="0"/>
        <v>-9.6657604081426692E-4</v>
      </c>
      <c r="D37" s="22">
        <f>'Daily Retun &amp; Risk'!D37</f>
        <v>2.6004017516810711E-3</v>
      </c>
      <c r="E37" s="23">
        <f t="shared" si="1"/>
        <v>1.789041095890411E-4</v>
      </c>
      <c r="F37" s="22">
        <f t="shared" si="2"/>
        <v>-1.3577776190577143E-3</v>
      </c>
      <c r="N37" s="26">
        <v>4</v>
      </c>
      <c r="O37" s="26">
        <v>-4.9000350622778188E-3</v>
      </c>
      <c r="P37" s="26">
        <v>-5.8945836660477622E-3</v>
      </c>
      <c r="Q37" s="24"/>
      <c r="R37" s="24"/>
      <c r="S37" s="24"/>
      <c r="T37" s="24"/>
      <c r="U37" s="24"/>
      <c r="V37" s="24"/>
    </row>
    <row r="38" spans="1:22" ht="21" x14ac:dyDescent="0.35">
      <c r="A38" s="18">
        <v>45929</v>
      </c>
      <c r="B38" s="19">
        <v>24634.9</v>
      </c>
      <c r="C38" s="20">
        <f t="shared" si="0"/>
        <v>-8.0341496238696723E-4</v>
      </c>
      <c r="D38" s="22">
        <f>'Daily Retun &amp; Risk'!D38</f>
        <v>6.3393514915713279E-3</v>
      </c>
      <c r="E38" s="23">
        <f t="shared" si="1"/>
        <v>1.789041095890411E-4</v>
      </c>
      <c r="F38" s="22">
        <f t="shared" si="2"/>
        <v>-1.1388941683429599E-3</v>
      </c>
      <c r="N38" s="26">
        <v>5</v>
      </c>
      <c r="O38" s="26">
        <v>5.785923963332721E-3</v>
      </c>
      <c r="P38" s="26">
        <v>3.9807508326717873E-3</v>
      </c>
      <c r="Q38" s="24"/>
      <c r="R38" s="24"/>
      <c r="S38" s="24"/>
      <c r="T38" s="24"/>
      <c r="U38" s="24"/>
      <c r="V38" s="24"/>
    </row>
    <row r="39" spans="1:22" ht="21" x14ac:dyDescent="0.35">
      <c r="A39" s="18">
        <v>45926</v>
      </c>
      <c r="B39" s="19">
        <v>24654.7</v>
      </c>
      <c r="C39" s="20">
        <f t="shared" si="0"/>
        <v>-9.5327143727411273E-3</v>
      </c>
      <c r="D39" s="22">
        <f>'Daily Retun &amp; Risk'!D39</f>
        <v>-3.8552381295985781E-2</v>
      </c>
      <c r="E39" s="23">
        <f t="shared" si="1"/>
        <v>1.789041095890411E-4</v>
      </c>
      <c r="F39" s="22">
        <f t="shared" si="2"/>
        <v>-1.2849402554765188E-2</v>
      </c>
      <c r="N39" s="26">
        <v>6</v>
      </c>
      <c r="O39" s="26">
        <v>2.0437761804581569E-3</v>
      </c>
      <c r="P39" s="26">
        <v>-2.2870818952875796E-3</v>
      </c>
      <c r="Q39" s="24"/>
      <c r="R39" s="24"/>
      <c r="S39" s="24"/>
      <c r="T39" s="24"/>
      <c r="U39" s="24"/>
      <c r="V39" s="24"/>
    </row>
    <row r="40" spans="1:22" ht="21" x14ac:dyDescent="0.35">
      <c r="A40" s="18">
        <v>45925</v>
      </c>
      <c r="B40" s="19">
        <v>24890.85</v>
      </c>
      <c r="C40" s="20">
        <f t="shared" si="0"/>
        <v>-6.6489726459885842E-3</v>
      </c>
      <c r="D40" s="22">
        <f>'Daily Retun &amp; Risk'!D40</f>
        <v>-1.2639332781569061E-2</v>
      </c>
      <c r="E40" s="23">
        <f t="shared" si="1"/>
        <v>1.789041095890411E-4</v>
      </c>
      <c r="F40" s="22">
        <f t="shared" si="2"/>
        <v>-8.9808124093343437E-3</v>
      </c>
      <c r="N40" s="26">
        <v>7</v>
      </c>
      <c r="O40" s="26">
        <v>6.1661223726506838E-4</v>
      </c>
      <c r="P40" s="26">
        <v>-1.5320786582691348E-2</v>
      </c>
      <c r="Q40" s="24"/>
      <c r="R40" s="24"/>
      <c r="S40" s="24"/>
      <c r="T40" s="24"/>
      <c r="U40" s="24"/>
      <c r="V40" s="24"/>
    </row>
    <row r="41" spans="1:22" ht="21" x14ac:dyDescent="0.35">
      <c r="A41" s="18">
        <v>45924</v>
      </c>
      <c r="B41" s="19">
        <v>25056.9</v>
      </c>
      <c r="C41" s="20">
        <f t="shared" si="0"/>
        <v>-4.48370532782927E-3</v>
      </c>
      <c r="D41" s="22">
        <f>'Daily Retun &amp; Risk'!D41</f>
        <v>-1.1043995692626613E-2</v>
      </c>
      <c r="E41" s="23">
        <f t="shared" si="1"/>
        <v>1.789041095890411E-4</v>
      </c>
      <c r="F41" s="22">
        <f t="shared" si="2"/>
        <v>-6.076068294580482E-3</v>
      </c>
      <c r="N41" s="26">
        <v>8</v>
      </c>
      <c r="O41" s="26">
        <v>9.8519386595726805E-3</v>
      </c>
      <c r="P41" s="26">
        <v>-8.4659001083884355E-3</v>
      </c>
      <c r="Q41" s="24"/>
      <c r="R41" s="24"/>
      <c r="S41" s="24"/>
      <c r="T41" s="24"/>
      <c r="U41" s="24"/>
      <c r="V41" s="24"/>
    </row>
    <row r="42" spans="1:22" ht="21" x14ac:dyDescent="0.35">
      <c r="A42" s="18">
        <v>45923</v>
      </c>
      <c r="B42" s="19">
        <v>25169.5</v>
      </c>
      <c r="C42" s="20">
        <f t="shared" si="0"/>
        <v>-1.3043001063899793E-3</v>
      </c>
      <c r="D42" s="22">
        <f>'Daily Retun &amp; Risk'!D42</f>
        <v>8.278514929604984E-3</v>
      </c>
      <c r="E42" s="23">
        <f t="shared" si="1"/>
        <v>1.789041095890411E-4</v>
      </c>
      <c r="F42" s="22">
        <f t="shared" si="2"/>
        <v>-1.8108403811769634E-3</v>
      </c>
      <c r="N42" s="26">
        <v>9</v>
      </c>
      <c r="O42" s="26">
        <v>6.7542190465654899E-3</v>
      </c>
      <c r="P42" s="26">
        <v>1.6233438268129518E-2</v>
      </c>
      <c r="Q42" s="24"/>
      <c r="R42" s="24"/>
      <c r="S42" s="24"/>
      <c r="T42" s="24"/>
      <c r="U42" s="24"/>
      <c r="V42" s="24"/>
    </row>
    <row r="43" spans="1:22" ht="21" x14ac:dyDescent="0.35">
      <c r="A43" s="18">
        <v>45922</v>
      </c>
      <c r="B43" s="19">
        <v>25202.35</v>
      </c>
      <c r="C43" s="20">
        <f t="shared" si="0"/>
        <v>-4.9357504010677988E-3</v>
      </c>
      <c r="D43" s="22">
        <f>'Daily Retun &amp; Risk'!D43</f>
        <v>-2.0343052062937357E-3</v>
      </c>
      <c r="E43" s="23">
        <f t="shared" si="1"/>
        <v>1.789041095890411E-4</v>
      </c>
      <c r="F43" s="22">
        <f t="shared" si="2"/>
        <v>-6.6824946951827575E-3</v>
      </c>
      <c r="N43" s="26">
        <v>10</v>
      </c>
      <c r="O43" s="26">
        <v>4.7538444199496975E-3</v>
      </c>
      <c r="P43" s="26">
        <v>-1.1906347682579085E-2</v>
      </c>
      <c r="Q43" s="24"/>
      <c r="R43" s="24"/>
      <c r="S43" s="24"/>
      <c r="T43" s="24"/>
      <c r="U43" s="24"/>
      <c r="V43" s="24"/>
    </row>
    <row r="44" spans="1:22" ht="21" x14ac:dyDescent="0.35">
      <c r="A44" s="18">
        <v>45919</v>
      </c>
      <c r="B44" s="19">
        <v>25327.05</v>
      </c>
      <c r="C44" s="20">
        <f t="shared" si="0"/>
        <v>-3.8048819662613634E-3</v>
      </c>
      <c r="D44" s="22">
        <f>'Daily Retun &amp; Risk'!D44</f>
        <v>-1.3850904983492266E-2</v>
      </c>
      <c r="E44" s="23">
        <f t="shared" si="1"/>
        <v>1.789041095890411E-4</v>
      </c>
      <c r="F44" s="22">
        <f t="shared" si="2"/>
        <v>-5.1654148394920645E-3</v>
      </c>
      <c r="N44" s="26">
        <v>11</v>
      </c>
      <c r="O44" s="26">
        <v>-4.7240813689634507E-4</v>
      </c>
      <c r="P44" s="26">
        <v>2.0093489938495981E-2</v>
      </c>
      <c r="Q44" s="24"/>
      <c r="R44" s="24"/>
      <c r="S44" s="24"/>
      <c r="T44" s="24"/>
      <c r="U44" s="24"/>
      <c r="V44" s="24"/>
    </row>
    <row r="45" spans="1:22" ht="21" x14ac:dyDescent="0.35">
      <c r="A45" s="18">
        <v>45918</v>
      </c>
      <c r="B45" s="19">
        <v>25423.599999999999</v>
      </c>
      <c r="C45" s="20">
        <f t="shared" si="0"/>
        <v>3.6785428205012871E-3</v>
      </c>
      <c r="D45" s="22">
        <f>'Daily Retun &amp; Risk'!D45</f>
        <v>2.4740920336608547E-3</v>
      </c>
      <c r="E45" s="23">
        <f t="shared" si="1"/>
        <v>1.789041095890411E-4</v>
      </c>
      <c r="F45" s="22">
        <f t="shared" si="2"/>
        <v>4.8737308702537906E-3</v>
      </c>
      <c r="N45" s="26">
        <v>12</v>
      </c>
      <c r="O45" s="26">
        <v>-4.1742616960483555E-3</v>
      </c>
      <c r="P45" s="26">
        <v>1.453589724222994E-2</v>
      </c>
      <c r="Q45" s="24"/>
      <c r="R45" s="24"/>
      <c r="S45" s="24"/>
      <c r="T45" s="24"/>
      <c r="U45" s="24"/>
      <c r="V45" s="24"/>
    </row>
    <row r="46" spans="1:22" ht="21" x14ac:dyDescent="0.35">
      <c r="A46" s="18">
        <v>45917</v>
      </c>
      <c r="B46" s="19">
        <v>25330.25</v>
      </c>
      <c r="C46" s="20">
        <f t="shared" si="0"/>
        <v>3.6049543335288465E-3</v>
      </c>
      <c r="D46" s="22">
        <f>'Daily Retun &amp; Risk'!D46</f>
        <v>6.9602004455440762E-3</v>
      </c>
      <c r="E46" s="23">
        <f t="shared" si="1"/>
        <v>1.789041095890411E-4</v>
      </c>
      <c r="F46" s="22">
        <f t="shared" si="2"/>
        <v>4.7750106232643565E-3</v>
      </c>
      <c r="N46" s="26">
        <v>13</v>
      </c>
      <c r="O46" s="26">
        <v>-8.2130486100057149E-3</v>
      </c>
      <c r="P46" s="26">
        <v>1.7273292071741636E-2</v>
      </c>
      <c r="Q46" s="24"/>
      <c r="R46" s="24"/>
      <c r="S46" s="24"/>
      <c r="T46" s="24"/>
      <c r="U46" s="24"/>
      <c r="V46" s="24"/>
    </row>
    <row r="47" spans="1:22" ht="21" x14ac:dyDescent="0.35">
      <c r="A47" s="18">
        <v>45916</v>
      </c>
      <c r="B47" s="19">
        <v>25239.1</v>
      </c>
      <c r="C47" s="20">
        <f t="shared" si="0"/>
        <v>6.7543783401827241E-3</v>
      </c>
      <c r="D47" s="22">
        <f>'Daily Retun &amp; Risk'!D47</f>
        <v>2.1770749030569241E-2</v>
      </c>
      <c r="E47" s="23">
        <f t="shared" si="1"/>
        <v>1.789041095890411E-4</v>
      </c>
      <c r="F47" s="22">
        <f t="shared" si="2"/>
        <v>9.0000182107659744E-3</v>
      </c>
      <c r="N47" s="26">
        <v>14</v>
      </c>
      <c r="O47" s="26">
        <v>2.5925852096781166E-3</v>
      </c>
      <c r="P47" s="26">
        <v>1.4945989164404011E-2</v>
      </c>
      <c r="Q47" s="24"/>
      <c r="R47" s="24"/>
      <c r="S47" s="24"/>
      <c r="T47" s="24"/>
      <c r="U47" s="24"/>
      <c r="V47" s="24"/>
    </row>
    <row r="48" spans="1:22" ht="21" x14ac:dyDescent="0.35">
      <c r="A48" s="18">
        <v>45915</v>
      </c>
      <c r="B48" s="19">
        <v>25069.200000000001</v>
      </c>
      <c r="C48" s="20">
        <f t="shared" si="0"/>
        <v>-1.7854585559052094E-3</v>
      </c>
      <c r="D48" s="22">
        <f>'Daily Retun &amp; Risk'!D48</f>
        <v>-1.6741493789214197E-2</v>
      </c>
      <c r="E48" s="23">
        <f t="shared" si="1"/>
        <v>1.789041095890411E-4</v>
      </c>
      <c r="F48" s="22">
        <f t="shared" si="2"/>
        <v>-2.4563228870883307E-3</v>
      </c>
      <c r="N48" s="26">
        <v>15</v>
      </c>
      <c r="O48" s="26">
        <v>-7.6555902752659796E-3</v>
      </c>
      <c r="P48" s="26">
        <v>3.3919236499761179E-3</v>
      </c>
      <c r="Q48" s="24"/>
      <c r="R48" s="24"/>
      <c r="S48" s="24"/>
      <c r="T48" s="24"/>
      <c r="U48" s="24"/>
      <c r="V48" s="24"/>
    </row>
    <row r="49" spans="1:22" ht="21" x14ac:dyDescent="0.35">
      <c r="A49" s="18">
        <v>45912</v>
      </c>
      <c r="B49" s="19">
        <v>25114</v>
      </c>
      <c r="C49" s="20">
        <f t="shared" si="0"/>
        <v>4.3296588950226811E-3</v>
      </c>
      <c r="D49" s="22">
        <f>'Daily Retun &amp; Risk'!D49</f>
        <v>-1.614340141285831E-3</v>
      </c>
      <c r="E49" s="23">
        <f t="shared" si="1"/>
        <v>1.789041095890411E-4</v>
      </c>
      <c r="F49" s="22">
        <f t="shared" si="2"/>
        <v>5.7472145134168269E-3</v>
      </c>
      <c r="N49" s="26">
        <v>16</v>
      </c>
      <c r="O49" s="26">
        <v>-8.6526500549324609E-3</v>
      </c>
      <c r="P49" s="26">
        <v>-6.1299149555657344E-4</v>
      </c>
      <c r="Q49" s="24"/>
      <c r="R49" s="24"/>
      <c r="S49" s="24"/>
      <c r="T49" s="24"/>
      <c r="U49" s="24"/>
      <c r="V49" s="24"/>
    </row>
    <row r="50" spans="1:22" ht="21" x14ac:dyDescent="0.35">
      <c r="A50" s="18">
        <v>45911</v>
      </c>
      <c r="B50" s="19">
        <v>25005.5</v>
      </c>
      <c r="C50" s="20">
        <f t="shared" si="0"/>
        <v>1.2965551071398326E-3</v>
      </c>
      <c r="D50" s="22">
        <f>'Daily Retun &amp; Risk'!D50</f>
        <v>-2.4166342784371943E-3</v>
      </c>
      <c r="E50" s="23">
        <f t="shared" si="1"/>
        <v>1.789041095890411E-4</v>
      </c>
      <c r="F50" s="22">
        <f t="shared" si="2"/>
        <v>1.6782525411925234E-3</v>
      </c>
      <c r="N50" s="26">
        <v>17</v>
      </c>
      <c r="O50" s="26">
        <v>6.5170580132060622E-3</v>
      </c>
      <c r="P50" s="26">
        <v>-1.9000000054511197E-2</v>
      </c>
      <c r="Q50" s="24"/>
      <c r="R50" s="24"/>
      <c r="S50" s="24"/>
      <c r="T50" s="24"/>
      <c r="U50" s="24"/>
      <c r="V50" s="24"/>
    </row>
    <row r="51" spans="1:22" ht="21" x14ac:dyDescent="0.35">
      <c r="A51" s="18">
        <v>45910</v>
      </c>
      <c r="B51" s="19">
        <v>24973.1</v>
      </c>
      <c r="C51" s="20">
        <f t="shared" si="0"/>
        <v>4.1932820559463261E-3</v>
      </c>
      <c r="D51" s="22">
        <f>'Daily Retun &amp; Risk'!D51</f>
        <v>-2.5176997937850054E-2</v>
      </c>
      <c r="E51" s="23">
        <f t="shared" si="1"/>
        <v>1.789041095890411E-4</v>
      </c>
      <c r="F51" s="22">
        <f t="shared" si="2"/>
        <v>5.5642625899413791E-3</v>
      </c>
      <c r="N51" s="26">
        <v>18</v>
      </c>
      <c r="O51" s="26">
        <v>-1.1001217317316207E-3</v>
      </c>
      <c r="P51" s="26">
        <v>-7.9393935603256603E-3</v>
      </c>
      <c r="Q51" s="24"/>
      <c r="R51" s="24"/>
      <c r="S51" s="24"/>
      <c r="T51" s="24"/>
      <c r="U51" s="24"/>
      <c r="V51" s="24"/>
    </row>
    <row r="52" spans="1:22" ht="21" x14ac:dyDescent="0.35">
      <c r="A52" s="18">
        <v>45909</v>
      </c>
      <c r="B52" s="19">
        <v>24868.6</v>
      </c>
      <c r="C52" s="20">
        <f t="shared" si="0"/>
        <v>3.8455581291435849E-3</v>
      </c>
      <c r="D52" s="22">
        <f>'Daily Retun &amp; Risk'!D52</f>
        <v>-1.378807144915669E-3</v>
      </c>
      <c r="E52" s="23">
        <f t="shared" si="1"/>
        <v>1.789041095890411E-4</v>
      </c>
      <c r="F52" s="22">
        <f t="shared" si="2"/>
        <v>5.0977848384561684E-3</v>
      </c>
      <c r="N52" s="26">
        <v>19</v>
      </c>
      <c r="O52" s="26">
        <v>9.3015560338916056E-3</v>
      </c>
      <c r="P52" s="26">
        <v>-1.3004956889342674E-2</v>
      </c>
      <c r="Q52" s="24"/>
      <c r="R52" s="24"/>
      <c r="S52" s="24"/>
      <c r="T52" s="24"/>
      <c r="U52" s="24"/>
      <c r="V52" s="24"/>
    </row>
    <row r="53" spans="1:22" ht="21" x14ac:dyDescent="0.35">
      <c r="A53" s="18">
        <v>45908</v>
      </c>
      <c r="B53" s="19">
        <v>24773.15</v>
      </c>
      <c r="C53" s="20">
        <f t="shared" si="0"/>
        <v>1.2986188601915426E-3</v>
      </c>
      <c r="D53" s="22">
        <f>'Daily Retun &amp; Risk'!D53</f>
        <v>3.8585479716050024E-2</v>
      </c>
      <c r="E53" s="23">
        <f t="shared" si="1"/>
        <v>1.789041095890411E-4</v>
      </c>
      <c r="F53" s="22">
        <f t="shared" si="2"/>
        <v>1.6810211021369319E-3</v>
      </c>
      <c r="N53" s="26">
        <v>20</v>
      </c>
      <c r="O53" s="26">
        <v>-4.5533733053205409E-3</v>
      </c>
      <c r="P53" s="26">
        <v>4.9396547989630259E-3</v>
      </c>
      <c r="Q53" s="24"/>
      <c r="R53" s="24"/>
      <c r="S53" s="24"/>
      <c r="T53" s="24"/>
      <c r="U53" s="24"/>
      <c r="V53" s="24"/>
    </row>
    <row r="54" spans="1:22" ht="21" x14ac:dyDescent="0.35">
      <c r="A54" s="18">
        <v>45905</v>
      </c>
      <c r="B54" s="19">
        <v>24741</v>
      </c>
      <c r="C54" s="20">
        <f t="shared" si="0"/>
        <v>2.708422198937796E-4</v>
      </c>
      <c r="D54" s="22">
        <f>'Daily Retun &amp; Risk'!D54</f>
        <v>2.2662411344996622E-2</v>
      </c>
      <c r="E54" s="23">
        <f t="shared" si="1"/>
        <v>1.789041095890411E-4</v>
      </c>
      <c r="F54" s="22">
        <f t="shared" si="2"/>
        <v>3.0224069837397904E-4</v>
      </c>
      <c r="N54" s="26">
        <v>21</v>
      </c>
      <c r="O54" s="26">
        <v>1.6248069772671391E-3</v>
      </c>
      <c r="P54" s="26">
        <v>-9.6226278341977076E-4</v>
      </c>
      <c r="Q54" s="24"/>
      <c r="R54" s="24"/>
      <c r="S54" s="24"/>
      <c r="T54" s="24"/>
      <c r="U54" s="24"/>
      <c r="V54" s="24"/>
    </row>
    <row r="55" spans="1:22" ht="21" x14ac:dyDescent="0.35">
      <c r="A55" s="18">
        <v>45904</v>
      </c>
      <c r="B55" s="19">
        <v>24734.3</v>
      </c>
      <c r="C55" s="20">
        <f t="shared" si="0"/>
        <v>7.7857447964071113E-4</v>
      </c>
      <c r="D55" s="22">
        <f>'Daily Retun &amp; Risk'!D55</f>
        <v>5.7792215785388068E-2</v>
      </c>
      <c r="E55" s="23">
        <f t="shared" si="1"/>
        <v>1.789041095890411E-4</v>
      </c>
      <c r="F55" s="22">
        <f t="shared" si="2"/>
        <v>9.8337243716747295E-4</v>
      </c>
      <c r="N55" s="26">
        <v>22</v>
      </c>
      <c r="O55" s="26">
        <v>1.7634035139435205E-3</v>
      </c>
      <c r="P55" s="26">
        <v>4.3582448983497772E-3</v>
      </c>
      <c r="Q55" s="24"/>
      <c r="R55" s="24"/>
      <c r="S55" s="24"/>
      <c r="T55" s="24"/>
      <c r="U55" s="24"/>
      <c r="V55" s="24"/>
    </row>
    <row r="56" spans="1:22" ht="21" x14ac:dyDescent="0.35">
      <c r="A56" s="18">
        <v>45903</v>
      </c>
      <c r="B56" s="19">
        <v>24715.05</v>
      </c>
      <c r="C56" s="20">
        <f t="shared" si="0"/>
        <v>5.495539207320317E-3</v>
      </c>
      <c r="D56" s="22">
        <f>'Daily Retun &amp; Risk'!D56</f>
        <v>1.5796663113173195E-2</v>
      </c>
      <c r="E56" s="23">
        <f t="shared" si="1"/>
        <v>1.789041095890411E-4</v>
      </c>
      <c r="F56" s="22">
        <f t="shared" si="2"/>
        <v>7.3112634173336331E-3</v>
      </c>
      <c r="N56" s="26">
        <v>23</v>
      </c>
      <c r="O56" s="26">
        <v>7.3804529708683163E-3</v>
      </c>
      <c r="P56" s="26">
        <v>-2.0656388681107869E-2</v>
      </c>
      <c r="Q56" s="24"/>
      <c r="R56" s="24"/>
      <c r="S56" s="24"/>
      <c r="T56" s="24"/>
      <c r="U56" s="24"/>
      <c r="V56" s="24"/>
    </row>
    <row r="57" spans="1:22" ht="21" x14ac:dyDescent="0.35">
      <c r="A57" s="18">
        <v>45902</v>
      </c>
      <c r="B57" s="19">
        <v>24579.599999999999</v>
      </c>
      <c r="C57" s="20">
        <f t="shared" si="0"/>
        <v>-1.8473869004707994E-3</v>
      </c>
      <c r="D57" s="22">
        <f>'Daily Retun &amp; Risk'!D57</f>
        <v>-2.470392350672555E-2</v>
      </c>
      <c r="E57" s="23">
        <f t="shared" si="1"/>
        <v>1.789041095890411E-4</v>
      </c>
      <c r="F57" s="22">
        <f t="shared" si="2"/>
        <v>-2.5394008483657707E-3</v>
      </c>
      <c r="N57" s="26">
        <v>24</v>
      </c>
      <c r="O57" s="26">
        <v>6.9576476775972994E-3</v>
      </c>
      <c r="P57" s="26">
        <v>1.7016863519989784E-2</v>
      </c>
      <c r="Q57" s="24"/>
      <c r="R57" s="24"/>
      <c r="S57" s="24"/>
      <c r="T57" s="24"/>
      <c r="U57" s="24"/>
      <c r="V57" s="24"/>
    </row>
    <row r="58" spans="1:22" ht="21" x14ac:dyDescent="0.35">
      <c r="A58" s="18">
        <v>45901</v>
      </c>
      <c r="B58" s="19">
        <v>24625.05</v>
      </c>
      <c r="C58" s="20">
        <f t="shared" si="0"/>
        <v>8.0812803848293591E-3</v>
      </c>
      <c r="D58" s="22">
        <f>'Daily Retun &amp; Risk'!D58</f>
        <v>3.5583732411250679E-2</v>
      </c>
      <c r="E58" s="23">
        <f t="shared" si="1"/>
        <v>1.789041095890411E-4</v>
      </c>
      <c r="F58" s="22">
        <f t="shared" si="2"/>
        <v>1.0780080595081051E-2</v>
      </c>
      <c r="N58" s="26">
        <v>25</v>
      </c>
      <c r="O58" s="26">
        <v>1.4238004201810652E-2</v>
      </c>
      <c r="P58" s="26">
        <v>3.7845861930980666E-3</v>
      </c>
      <c r="Q58" s="24"/>
      <c r="R58" s="24"/>
      <c r="S58" s="24"/>
      <c r="T58" s="24"/>
      <c r="U58" s="24"/>
      <c r="V58" s="24"/>
    </row>
    <row r="59" spans="1:22" ht="21" x14ac:dyDescent="0.35">
      <c r="A59" s="18">
        <v>45898</v>
      </c>
      <c r="B59" s="19">
        <v>24426.85</v>
      </c>
      <c r="C59" s="20">
        <f t="shared" si="0"/>
        <v>-3.0269144417419749E-3</v>
      </c>
      <c r="D59" s="22">
        <f>'Daily Retun &amp; Risk'!D59</f>
        <v>-2.9502663253533599E-2</v>
      </c>
      <c r="E59" s="23">
        <f t="shared" si="1"/>
        <v>1.789041095890411E-4</v>
      </c>
      <c r="F59" s="22">
        <f t="shared" si="2"/>
        <v>-4.1217577495035775E-3</v>
      </c>
      <c r="N59" s="26">
        <v>26</v>
      </c>
      <c r="O59" s="26">
        <v>9.9084759518515177E-3</v>
      </c>
      <c r="P59" s="26">
        <v>8.4338844200732878E-4</v>
      </c>
      <c r="Q59" s="24"/>
      <c r="R59" s="24"/>
      <c r="S59" s="24"/>
      <c r="T59" s="24"/>
      <c r="U59" s="24"/>
      <c r="V59" s="24"/>
    </row>
    <row r="60" spans="1:22" ht="21" x14ac:dyDescent="0.35">
      <c r="A60" s="18">
        <v>45897</v>
      </c>
      <c r="B60" s="19">
        <v>24500.9</v>
      </c>
      <c r="C60" s="20">
        <f t="shared" si="0"/>
        <v>-8.5811273528911703E-3</v>
      </c>
      <c r="D60" s="22">
        <f>'Daily Retun &amp; Risk'!D60</f>
        <v>-1.0715304528615792E-2</v>
      </c>
      <c r="E60" s="23">
        <f t="shared" si="1"/>
        <v>1.789041095890411E-4</v>
      </c>
      <c r="F60" s="22">
        <f t="shared" si="2"/>
        <v>-1.1572831864207177E-2</v>
      </c>
      <c r="N60" s="26">
        <v>27</v>
      </c>
      <c r="O60" s="26">
        <v>-3.9166781782553469E-3</v>
      </c>
      <c r="P60" s="26">
        <v>3.9455820007879916E-3</v>
      </c>
      <c r="Q60" s="24"/>
      <c r="R60" s="24"/>
      <c r="S60" s="24"/>
      <c r="T60" s="24"/>
      <c r="U60" s="24"/>
      <c r="V60" s="24"/>
    </row>
    <row r="61" spans="1:22" ht="21" x14ac:dyDescent="0.35">
      <c r="A61" s="18">
        <v>45895</v>
      </c>
      <c r="B61" s="19">
        <v>24712.05</v>
      </c>
      <c r="C61" s="20">
        <f t="shared" si="0"/>
        <v>-1.0294013179196964E-2</v>
      </c>
      <c r="D61" s="22">
        <f>'Daily Retun &amp; Risk'!D61</f>
        <v>-2.0239334483892771E-2</v>
      </c>
      <c r="E61" s="23">
        <f t="shared" si="1"/>
        <v>1.789041095890411E-4</v>
      </c>
      <c r="F61" s="22">
        <f t="shared" si="2"/>
        <v>-1.3870698266881518E-2</v>
      </c>
      <c r="N61" s="26">
        <v>28</v>
      </c>
      <c r="O61" s="26">
        <v>-2.6377878121396853E-3</v>
      </c>
      <c r="P61" s="26">
        <v>4.0261546796445226E-3</v>
      </c>
      <c r="Q61" s="24"/>
      <c r="R61" s="24"/>
      <c r="S61" s="24"/>
      <c r="T61" s="24"/>
      <c r="U61" s="24"/>
      <c r="V61" s="24"/>
    </row>
    <row r="62" spans="1:22" ht="21" x14ac:dyDescent="0.35">
      <c r="A62" s="18">
        <v>45894</v>
      </c>
      <c r="B62" s="19">
        <v>24967.75</v>
      </c>
      <c r="C62" s="20">
        <f t="shared" si="0"/>
        <v>3.9187133859900506E-3</v>
      </c>
      <c r="D62" s="22">
        <f>'Daily Retun &amp; Risk'!D62</f>
        <v>-1.205545655348559E-3</v>
      </c>
      <c r="E62" s="23">
        <f t="shared" si="1"/>
        <v>1.789041095890411E-4</v>
      </c>
      <c r="F62" s="22">
        <f t="shared" si="2"/>
        <v>5.1959238996270186E-3</v>
      </c>
      <c r="N62" s="26">
        <v>29</v>
      </c>
      <c r="O62" s="26">
        <v>5.9480834401842491E-3</v>
      </c>
      <c r="P62" s="26">
        <v>-2.4687096960805338E-3</v>
      </c>
      <c r="Q62" s="24"/>
      <c r="R62" s="24"/>
      <c r="S62" s="24"/>
      <c r="T62" s="24"/>
      <c r="U62" s="24"/>
      <c r="V62" s="24"/>
    </row>
    <row r="63" spans="1:22" ht="21" x14ac:dyDescent="0.35">
      <c r="A63" s="18">
        <v>45891</v>
      </c>
      <c r="B63" s="19">
        <v>24870.1</v>
      </c>
      <c r="C63" s="20">
        <f t="shared" si="0"/>
        <v>-8.5539474026356463E-3</v>
      </c>
      <c r="D63" s="22">
        <f>'Daily Retun &amp; Risk'!D63</f>
        <v>8.2324420035947126E-3</v>
      </c>
      <c r="E63" s="23">
        <f t="shared" si="1"/>
        <v>1.789041095890411E-4</v>
      </c>
      <c r="F63" s="22">
        <f t="shared" si="2"/>
        <v>-1.1536369483843373E-2</v>
      </c>
      <c r="N63" s="26">
        <v>30</v>
      </c>
      <c r="O63" s="26">
        <v>7.6890016169888003E-3</v>
      </c>
      <c r="P63" s="26">
        <v>-2.9141941641314542E-3</v>
      </c>
      <c r="Q63" s="24"/>
      <c r="R63" s="24"/>
      <c r="S63" s="24"/>
      <c r="T63" s="24"/>
      <c r="U63" s="24"/>
      <c r="V63" s="24"/>
    </row>
    <row r="64" spans="1:22" ht="21" x14ac:dyDescent="0.35">
      <c r="A64" s="18">
        <v>45890</v>
      </c>
      <c r="B64" s="19">
        <v>25083.75</v>
      </c>
      <c r="C64" s="20">
        <f t="shared" si="0"/>
        <v>1.324442740923701E-3</v>
      </c>
      <c r="D64" s="22">
        <f>'Daily Retun &amp; Risk'!D64</f>
        <v>-6.0555223665017385E-3</v>
      </c>
      <c r="E64" s="23">
        <f t="shared" si="1"/>
        <v>1.789041095890411E-4</v>
      </c>
      <c r="F64" s="22">
        <f t="shared" si="2"/>
        <v>1.7156642914317344E-3</v>
      </c>
      <c r="N64" s="26">
        <v>31</v>
      </c>
      <c r="O64" s="26">
        <v>-2.8817997589734275E-3</v>
      </c>
      <c r="P64" s="26">
        <v>-1.6282575010827652E-2</v>
      </c>
      <c r="Q64" s="24"/>
      <c r="R64" s="24"/>
      <c r="S64" s="24"/>
      <c r="T64" s="24"/>
      <c r="U64" s="24"/>
      <c r="V64" s="24"/>
    </row>
    <row r="65" spans="1:22" ht="21" x14ac:dyDescent="0.35">
      <c r="A65" s="18">
        <v>45889</v>
      </c>
      <c r="B65" s="19">
        <v>25050.55</v>
      </c>
      <c r="C65" s="20">
        <f t="shared" si="0"/>
        <v>2.7942582021172405E-3</v>
      </c>
      <c r="D65" s="22">
        <f>'Daily Retun &amp; Risk'!D65</f>
        <v>1.2326812480658462E-2</v>
      </c>
      <c r="E65" s="23">
        <f t="shared" si="1"/>
        <v>1.789041095890411E-4</v>
      </c>
      <c r="F65" s="22">
        <f t="shared" si="2"/>
        <v>3.6874475326370755E-3</v>
      </c>
      <c r="N65" s="26">
        <v>32</v>
      </c>
      <c r="O65" s="26">
        <v>2.0815511967878357E-3</v>
      </c>
      <c r="P65" s="26">
        <v>3.8913588186508317E-3</v>
      </c>
      <c r="Q65" s="24"/>
      <c r="R65" s="24"/>
      <c r="S65" s="24"/>
      <c r="T65" s="24"/>
      <c r="U65" s="24"/>
      <c r="V65" s="24"/>
    </row>
    <row r="66" spans="1:22" ht="21" x14ac:dyDescent="0.35">
      <c r="A66" s="18">
        <v>45888</v>
      </c>
      <c r="B66" s="19">
        <v>24980.65</v>
      </c>
      <c r="C66" s="20">
        <f t="shared" si="0"/>
        <v>4.1598532435831309E-3</v>
      </c>
      <c r="D66" s="22">
        <f>'Daily Retun &amp; Risk'!D66</f>
        <v>-8.6387855231975456E-3</v>
      </c>
      <c r="E66" s="23">
        <f t="shared" si="1"/>
        <v>1.789041095890411E-4</v>
      </c>
      <c r="F66" s="22">
        <f t="shared" si="2"/>
        <v>5.5194172513723973E-3</v>
      </c>
      <c r="N66" s="26">
        <v>33</v>
      </c>
      <c r="O66" s="26">
        <v>1.0289895393498351E-2</v>
      </c>
      <c r="P66" s="26">
        <v>-7.4055553494122225E-3</v>
      </c>
      <c r="Q66" s="24"/>
      <c r="R66" s="24"/>
      <c r="S66" s="24"/>
      <c r="T66" s="24"/>
      <c r="U66" s="24"/>
      <c r="V66" s="24"/>
    </row>
    <row r="67" spans="1:22" ht="21" x14ac:dyDescent="0.35">
      <c r="A67" s="18">
        <v>45887</v>
      </c>
      <c r="B67" s="19">
        <v>24876.95</v>
      </c>
      <c r="C67" s="20">
        <f t="shared" ref="C67:C130" si="3">LN(B67/B68)</f>
        <v>9.9236800312108801E-3</v>
      </c>
      <c r="D67" s="22">
        <f>'Daily Retun &amp; Risk'!D67</f>
        <v>3.5410182214287558E-2</v>
      </c>
      <c r="E67" s="23">
        <f t="shared" ref="E67:E130" si="4">6.53%/365</f>
        <v>1.789041095890411E-4</v>
      </c>
      <c r="F67" s="22">
        <f t="shared" ref="F67:F130" si="5">E67+((C67-E67)*$O$27)</f>
        <v>1.3251692060773325E-2</v>
      </c>
      <c r="N67" s="26">
        <v>34</v>
      </c>
      <c r="O67" s="26">
        <v>3.5694321888476606E-3</v>
      </c>
      <c r="P67" s="26">
        <v>-3.9737409707435748E-3</v>
      </c>
      <c r="Q67" s="24"/>
      <c r="R67" s="24"/>
      <c r="S67" s="24"/>
      <c r="T67" s="24"/>
      <c r="U67" s="24"/>
      <c r="V67" s="24"/>
    </row>
    <row r="68" spans="1:22" ht="21" x14ac:dyDescent="0.35">
      <c r="A68" s="18">
        <v>45883</v>
      </c>
      <c r="B68" s="19">
        <v>24631.3</v>
      </c>
      <c r="C68" s="20">
        <f t="shared" si="3"/>
        <v>4.8527279272500415E-4</v>
      </c>
      <c r="D68" s="22">
        <f>'Daily Retun &amp; Risk'!D68</f>
        <v>-5.1316625534633805E-3</v>
      </c>
      <c r="E68" s="23">
        <f t="shared" si="4"/>
        <v>1.789041095890411E-4</v>
      </c>
      <c r="F68" s="22">
        <f t="shared" si="5"/>
        <v>5.8990307577701261E-4</v>
      </c>
      <c r="N68" s="26">
        <v>35</v>
      </c>
      <c r="O68" s="26">
        <v>1.2662468300003801E-2</v>
      </c>
      <c r="P68" s="26">
        <v>-2.0969456565621443E-3</v>
      </c>
      <c r="Q68" s="24"/>
      <c r="R68" s="24"/>
      <c r="S68" s="24"/>
      <c r="T68" s="24"/>
      <c r="U68" s="24"/>
      <c r="V68" s="24"/>
    </row>
    <row r="69" spans="1:22" ht="21" x14ac:dyDescent="0.35">
      <c r="A69" s="18">
        <v>45882</v>
      </c>
      <c r="B69" s="19">
        <v>24619.35</v>
      </c>
      <c r="C69" s="20">
        <f t="shared" si="3"/>
        <v>5.3740195618916181E-3</v>
      </c>
      <c r="D69" s="22">
        <f>'Daily Retun &amp; Risk'!D69</f>
        <v>1.4021430259962473E-2</v>
      </c>
      <c r="E69" s="23">
        <f t="shared" si="4"/>
        <v>1.789041095890411E-4</v>
      </c>
      <c r="F69" s="22">
        <f t="shared" si="5"/>
        <v>7.1482426799283055E-3</v>
      </c>
      <c r="N69" s="26">
        <v>36</v>
      </c>
      <c r="O69" s="26">
        <v>-8.537342747600605E-4</v>
      </c>
      <c r="P69" s="26">
        <v>3.4541360264411314E-3</v>
      </c>
      <c r="Q69" s="24"/>
      <c r="R69" s="24"/>
      <c r="S69" s="24"/>
      <c r="T69" s="24"/>
      <c r="U69" s="24"/>
      <c r="V69" s="24"/>
    </row>
    <row r="70" spans="1:22" ht="21" x14ac:dyDescent="0.35">
      <c r="A70" s="18">
        <v>45881</v>
      </c>
      <c r="B70" s="19">
        <v>24487.4</v>
      </c>
      <c r="C70" s="20">
        <f t="shared" si="3"/>
        <v>-3.9798350761185517E-3</v>
      </c>
      <c r="D70" s="22">
        <f>'Daily Retun &amp; Risk'!D70</f>
        <v>1.5663514846770459E-2</v>
      </c>
      <c r="E70" s="23">
        <f t="shared" si="4"/>
        <v>1.789041095890411E-4</v>
      </c>
      <c r="F70" s="22">
        <f t="shared" si="5"/>
        <v>-5.4001175073582972E-3</v>
      </c>
      <c r="N70" s="26">
        <v>37</v>
      </c>
      <c r="O70" s="26">
        <v>-6.3485082404530634E-4</v>
      </c>
      <c r="P70" s="26">
        <v>6.974202315616634E-3</v>
      </c>
      <c r="Q70" s="24"/>
      <c r="R70" s="24"/>
      <c r="S70" s="24"/>
      <c r="T70" s="24"/>
      <c r="U70" s="24"/>
      <c r="V70" s="24"/>
    </row>
    <row r="71" spans="1:22" ht="21" x14ac:dyDescent="0.35">
      <c r="A71" s="18">
        <v>45880</v>
      </c>
      <c r="B71" s="19">
        <v>24585.05</v>
      </c>
      <c r="C71" s="20">
        <f t="shared" si="3"/>
        <v>9.0606329752241262E-3</v>
      </c>
      <c r="D71" s="22">
        <f>'Daily Retun &amp; Risk'!D71</f>
        <v>1.3269498381380996E-2</v>
      </c>
      <c r="E71" s="23">
        <f t="shared" si="4"/>
        <v>1.789041095890411E-4</v>
      </c>
      <c r="F71" s="22">
        <f t="shared" si="5"/>
        <v>1.2093899285900473E-2</v>
      </c>
      <c r="N71" s="26">
        <v>38</v>
      </c>
      <c r="O71" s="26">
        <v>-1.2345359210467534E-2</v>
      </c>
      <c r="P71" s="26">
        <v>-2.6207022085518249E-2</v>
      </c>
      <c r="Q71" s="24"/>
      <c r="R71" s="24"/>
      <c r="S71" s="24"/>
      <c r="T71" s="24"/>
      <c r="U71" s="24"/>
      <c r="V71" s="24"/>
    </row>
    <row r="72" spans="1:22" ht="21" x14ac:dyDescent="0.35">
      <c r="A72" s="18">
        <v>45877</v>
      </c>
      <c r="B72" s="19">
        <v>24363.3</v>
      </c>
      <c r="C72" s="20">
        <f t="shared" si="3"/>
        <v>-9.5120249782038261E-3</v>
      </c>
      <c r="D72" s="22">
        <f>'Daily Retun &amp; Risk'!D72</f>
        <v>-2.105407179329162E-2</v>
      </c>
      <c r="E72" s="23">
        <f t="shared" si="4"/>
        <v>1.789041095890411E-4</v>
      </c>
      <c r="F72" s="22">
        <f t="shared" si="5"/>
        <v>-1.2821647368827623E-2</v>
      </c>
      <c r="N72" s="26">
        <v>39</v>
      </c>
      <c r="O72" s="26">
        <v>-8.4767690650366899E-3</v>
      </c>
      <c r="P72" s="26">
        <v>-4.162563716532371E-3</v>
      </c>
      <c r="Q72" s="24"/>
      <c r="R72" s="24"/>
      <c r="S72" s="24"/>
      <c r="T72" s="24"/>
      <c r="U72" s="24"/>
      <c r="V72" s="24"/>
    </row>
    <row r="73" spans="1:22" ht="21" x14ac:dyDescent="0.35">
      <c r="A73" s="18">
        <v>45876</v>
      </c>
      <c r="B73" s="19">
        <v>24596.15</v>
      </c>
      <c r="C73" s="20">
        <f t="shared" si="3"/>
        <v>8.9281452981572603E-4</v>
      </c>
      <c r="D73" s="22">
        <f>'Daily Retun &amp; Risk'!D73</f>
        <v>-5.0942861700923889E-3</v>
      </c>
      <c r="E73" s="23">
        <f t="shared" si="4"/>
        <v>1.789041095890411E-4</v>
      </c>
      <c r="F73" s="22">
        <f t="shared" si="5"/>
        <v>1.136627469759548E-3</v>
      </c>
      <c r="N73" s="26">
        <v>40</v>
      </c>
      <c r="O73" s="26">
        <v>-5.5720249502828282E-3</v>
      </c>
      <c r="P73" s="26">
        <v>-5.471970742343785E-3</v>
      </c>
      <c r="Q73" s="24"/>
      <c r="R73" s="24"/>
      <c r="S73" s="24"/>
      <c r="T73" s="24"/>
      <c r="U73" s="24"/>
      <c r="V73" s="24"/>
    </row>
    <row r="74" spans="1:22" ht="21" x14ac:dyDescent="0.35">
      <c r="A74" s="18">
        <v>45875</v>
      </c>
      <c r="B74" s="19">
        <v>24574.2</v>
      </c>
      <c r="C74" s="20">
        <f t="shared" si="3"/>
        <v>-3.0615326485490348E-3</v>
      </c>
      <c r="D74" s="22">
        <f>'Daily Retun &amp; Risk'!D74</f>
        <v>4.751783092000827E-3</v>
      </c>
      <c r="E74" s="23">
        <f t="shared" si="4"/>
        <v>1.789041095890411E-4</v>
      </c>
      <c r="F74" s="22">
        <f t="shared" si="5"/>
        <v>-4.1681986815967215E-3</v>
      </c>
      <c r="N74" s="26">
        <v>41</v>
      </c>
      <c r="O74" s="26">
        <v>-1.3067970368793099E-3</v>
      </c>
      <c r="P74" s="26">
        <v>9.5853119664842945E-3</v>
      </c>
      <c r="Q74" s="24"/>
      <c r="R74" s="24"/>
      <c r="S74" s="24"/>
      <c r="T74" s="24"/>
      <c r="U74" s="24"/>
      <c r="V74" s="24"/>
    </row>
    <row r="75" spans="1:22" ht="21" x14ac:dyDescent="0.35">
      <c r="A75" s="18">
        <v>45874</v>
      </c>
      <c r="B75" s="19">
        <v>24649.55</v>
      </c>
      <c r="C75" s="20">
        <f t="shared" si="3"/>
        <v>-2.9652276128395885E-3</v>
      </c>
      <c r="D75" s="22">
        <f>'Daily Retun &amp; Risk'!D75</f>
        <v>3.7427527940225237E-3</v>
      </c>
      <c r="E75" s="23">
        <f t="shared" si="4"/>
        <v>1.789041095890411E-4</v>
      </c>
      <c r="F75" s="22">
        <f t="shared" si="5"/>
        <v>-4.0390037857277062E-3</v>
      </c>
      <c r="N75" s="26">
        <v>42</v>
      </c>
      <c r="O75" s="26">
        <v>-6.1784513508851037E-3</v>
      </c>
      <c r="P75" s="26">
        <v>4.144146144591368E-3</v>
      </c>
      <c r="Q75" s="24"/>
      <c r="R75" s="24"/>
      <c r="S75" s="24"/>
      <c r="T75" s="24"/>
      <c r="U75" s="24"/>
      <c r="V75" s="24"/>
    </row>
    <row r="76" spans="1:22" ht="21" x14ac:dyDescent="0.35">
      <c r="A76" s="18">
        <v>45873</v>
      </c>
      <c r="B76" s="19">
        <v>24722.75</v>
      </c>
      <c r="C76" s="20">
        <f t="shared" si="3"/>
        <v>6.3869589240010231E-3</v>
      </c>
      <c r="D76" s="22">
        <f>'Daily Retun &amp; Risk'!D76</f>
        <v>1.2862823780112886E-2</v>
      </c>
      <c r="E76" s="23">
        <f t="shared" si="4"/>
        <v>1.789041095890411E-4</v>
      </c>
      <c r="F76" s="22">
        <f t="shared" si="5"/>
        <v>8.5071186145593645E-3</v>
      </c>
      <c r="N76" s="26">
        <v>43</v>
      </c>
      <c r="O76" s="26">
        <v>-4.6613714951944107E-3</v>
      </c>
      <c r="P76" s="26">
        <v>-9.189533488297855E-3</v>
      </c>
      <c r="Q76" s="24"/>
      <c r="R76" s="24"/>
      <c r="S76" s="24"/>
      <c r="T76" s="24"/>
      <c r="U76" s="24"/>
      <c r="V76" s="24"/>
    </row>
    <row r="77" spans="1:22" ht="21" x14ac:dyDescent="0.35">
      <c r="A77" s="18">
        <v>45870</v>
      </c>
      <c r="B77" s="19">
        <v>24565.35</v>
      </c>
      <c r="C77" s="20">
        <f t="shared" si="3"/>
        <v>-8.2297150116146193E-3</v>
      </c>
      <c r="D77" s="22">
        <f>'Daily Retun &amp; Risk'!D77</f>
        <v>-1.3768606797705111E-2</v>
      </c>
      <c r="E77" s="23">
        <f t="shared" si="4"/>
        <v>1.789041095890411E-4</v>
      </c>
      <c r="F77" s="22">
        <f t="shared" si="5"/>
        <v>-1.110140603996175E-2</v>
      </c>
      <c r="N77" s="26">
        <v>44</v>
      </c>
      <c r="O77" s="26">
        <v>5.3777742145514444E-3</v>
      </c>
      <c r="P77" s="26">
        <v>-2.9036821808905897E-3</v>
      </c>
      <c r="Q77" s="24"/>
      <c r="R77" s="24"/>
      <c r="S77" s="24"/>
      <c r="T77" s="24"/>
      <c r="U77" s="24"/>
      <c r="V77" s="24"/>
    </row>
    <row r="78" spans="1:22" ht="21" x14ac:dyDescent="0.35">
      <c r="A78" s="18">
        <v>45869</v>
      </c>
      <c r="B78" s="19">
        <v>24768.35</v>
      </c>
      <c r="C78" s="20">
        <f t="shared" si="3"/>
        <v>-3.4943227678611022E-3</v>
      </c>
      <c r="D78" s="22">
        <f>'Daily Retun &amp; Risk'!D78</f>
        <v>-1.8091084160601122E-3</v>
      </c>
      <c r="E78" s="23">
        <f t="shared" si="4"/>
        <v>1.789041095890411E-4</v>
      </c>
      <c r="F78" s="22">
        <f t="shared" si="5"/>
        <v>-4.7487942235199428E-3</v>
      </c>
      <c r="N78" s="26">
        <v>45</v>
      </c>
      <c r="O78" s="26">
        <v>5.2790539675620102E-3</v>
      </c>
      <c r="P78" s="26">
        <v>1.6811464779820659E-3</v>
      </c>
      <c r="Q78" s="24"/>
      <c r="R78" s="24"/>
      <c r="S78" s="24"/>
      <c r="T78" s="24"/>
      <c r="U78" s="24"/>
      <c r="V78" s="24"/>
    </row>
    <row r="79" spans="1:22" ht="21" x14ac:dyDescent="0.35">
      <c r="A79" s="18">
        <v>45868</v>
      </c>
      <c r="B79" s="19">
        <v>24855.05</v>
      </c>
      <c r="C79" s="20">
        <f t="shared" si="3"/>
        <v>1.3668533203841048E-3</v>
      </c>
      <c r="D79" s="22">
        <f>'Daily Retun &amp; Risk'!D79</f>
        <v>2.9649070609311574E-3</v>
      </c>
      <c r="E79" s="23">
        <f t="shared" si="4"/>
        <v>1.789041095890411E-4</v>
      </c>
      <c r="F79" s="22">
        <f t="shared" si="5"/>
        <v>1.7725588282206765E-3</v>
      </c>
      <c r="N79" s="26">
        <v>46</v>
      </c>
      <c r="O79" s="26">
        <v>9.5040615550636282E-3</v>
      </c>
      <c r="P79" s="26">
        <v>1.2266687475505612E-2</v>
      </c>
      <c r="Q79" s="24"/>
      <c r="R79" s="24"/>
      <c r="S79" s="24"/>
      <c r="T79" s="24"/>
      <c r="U79" s="24"/>
      <c r="V79" s="24"/>
    </row>
    <row r="80" spans="1:22" ht="21" x14ac:dyDescent="0.35">
      <c r="A80" s="18">
        <v>45867</v>
      </c>
      <c r="B80" s="19">
        <v>24821.1</v>
      </c>
      <c r="C80" s="20">
        <f t="shared" si="3"/>
        <v>5.6644327448940367E-3</v>
      </c>
      <c r="D80" s="22">
        <f>'Daily Retun &amp; Risk'!D80</f>
        <v>-3.2453376795605151E-3</v>
      </c>
      <c r="E80" s="23">
        <f t="shared" si="4"/>
        <v>1.789041095890411E-4</v>
      </c>
      <c r="F80" s="22">
        <f t="shared" si="5"/>
        <v>7.5378370626165044E-3</v>
      </c>
      <c r="N80" s="26">
        <v>47</v>
      </c>
      <c r="O80" s="26">
        <v>-1.9522795427906767E-3</v>
      </c>
      <c r="P80" s="26">
        <v>-1.4789214246423521E-2</v>
      </c>
      <c r="Q80" s="24"/>
      <c r="R80" s="24"/>
      <c r="S80" s="24"/>
      <c r="T80" s="24"/>
      <c r="U80" s="24"/>
      <c r="V80" s="24"/>
    </row>
    <row r="81" spans="1:22" ht="21" x14ac:dyDescent="0.35">
      <c r="A81" s="18">
        <v>45866</v>
      </c>
      <c r="B81" s="19">
        <v>24680.9</v>
      </c>
      <c r="C81" s="20">
        <f t="shared" si="3"/>
        <v>-6.3048116777717281E-3</v>
      </c>
      <c r="D81" s="22">
        <f>'Daily Retun &amp; Risk'!D81</f>
        <v>-1.1338060184494467E-2</v>
      </c>
      <c r="E81" s="23">
        <f t="shared" si="4"/>
        <v>1.789041095890411E-4</v>
      </c>
      <c r="F81" s="22">
        <f t="shared" si="5"/>
        <v>-8.5191144293335457E-3</v>
      </c>
      <c r="N81" s="26">
        <v>48</v>
      </c>
      <c r="O81" s="26">
        <v>6.2512578577144816E-3</v>
      </c>
      <c r="P81" s="26">
        <v>-7.8655979990003132E-3</v>
      </c>
      <c r="Q81" s="24"/>
      <c r="R81" s="24"/>
      <c r="S81" s="24"/>
      <c r="T81" s="24"/>
      <c r="U81" s="24"/>
      <c r="V81" s="24"/>
    </row>
    <row r="82" spans="1:22" ht="21" x14ac:dyDescent="0.35">
      <c r="A82" s="18">
        <v>45863</v>
      </c>
      <c r="B82" s="19">
        <v>24837</v>
      </c>
      <c r="C82" s="20">
        <f t="shared" si="3"/>
        <v>-9.0222680148949828E-3</v>
      </c>
      <c r="D82" s="22">
        <f>'Daily Retun &amp; Risk'!D82</f>
        <v>-4.4565408075254997E-3</v>
      </c>
      <c r="E82" s="23">
        <f t="shared" si="4"/>
        <v>1.789041095890411E-4</v>
      </c>
      <c r="F82" s="22">
        <f t="shared" si="5"/>
        <v>-1.2164629805730402E-2</v>
      </c>
      <c r="N82" s="26">
        <v>49</v>
      </c>
      <c r="O82" s="26">
        <v>2.1822958854901772E-3</v>
      </c>
      <c r="P82" s="26">
        <v>-4.598930163927371E-3</v>
      </c>
      <c r="Q82" s="24"/>
      <c r="R82" s="24"/>
      <c r="S82" s="24"/>
      <c r="T82" s="24"/>
      <c r="U82" s="24"/>
      <c r="V82" s="24"/>
    </row>
    <row r="83" spans="1:22" ht="21" x14ac:dyDescent="0.35">
      <c r="A83" s="18">
        <v>45862</v>
      </c>
      <c r="B83" s="19">
        <v>25062.1</v>
      </c>
      <c r="C83" s="20">
        <f t="shared" si="3"/>
        <v>-6.2766205821811125E-3</v>
      </c>
      <c r="D83" s="22">
        <f>'Daily Retun &amp; Risk'!D83</f>
        <v>-2.4197141842818306E-3</v>
      </c>
      <c r="E83" s="23">
        <f t="shared" si="4"/>
        <v>1.789041095890411E-4</v>
      </c>
      <c r="F83" s="22">
        <f t="shared" si="5"/>
        <v>-8.4812955797538472E-3</v>
      </c>
      <c r="N83" s="26">
        <v>50</v>
      </c>
      <c r="O83" s="26">
        <v>6.0683059342390312E-3</v>
      </c>
      <c r="P83" s="26">
        <v>-3.1245303872089084E-2</v>
      </c>
      <c r="Q83" s="24"/>
      <c r="R83" s="24"/>
      <c r="S83" s="24"/>
      <c r="T83" s="24"/>
      <c r="U83" s="24"/>
      <c r="V83" s="24"/>
    </row>
    <row r="84" spans="1:22" ht="21" x14ac:dyDescent="0.35">
      <c r="A84" s="18">
        <v>45861</v>
      </c>
      <c r="B84" s="19">
        <v>25219.9</v>
      </c>
      <c r="C84" s="20">
        <f t="shared" si="3"/>
        <v>6.3245027919540961E-3</v>
      </c>
      <c r="D84" s="22">
        <f>'Daily Retun &amp; Risk'!D84</f>
        <v>3.555014470381489E-3</v>
      </c>
      <c r="E84" s="23">
        <f t="shared" si="4"/>
        <v>1.789041095890411E-4</v>
      </c>
      <c r="F84" s="22">
        <f t="shared" si="5"/>
        <v>8.4233326171113346E-3</v>
      </c>
      <c r="N84" s="26">
        <v>51</v>
      </c>
      <c r="O84" s="26">
        <v>5.6018281827538222E-3</v>
      </c>
      <c r="P84" s="26">
        <v>-6.9806353276694912E-3</v>
      </c>
      <c r="Q84" s="24"/>
      <c r="R84" s="24"/>
      <c r="S84" s="24"/>
      <c r="T84" s="24"/>
      <c r="U84" s="24"/>
      <c r="V84" s="24"/>
    </row>
    <row r="85" spans="1:22" ht="21" x14ac:dyDescent="0.35">
      <c r="A85" s="18">
        <v>45860</v>
      </c>
      <c r="B85" s="19">
        <v>25060.9</v>
      </c>
      <c r="C85" s="20">
        <f t="shared" si="3"/>
        <v>-1.1883969208231818E-3</v>
      </c>
      <c r="D85" s="22">
        <f>'Daily Retun &amp; Risk'!D85</f>
        <v>3.2288347367580511E-3</v>
      </c>
      <c r="E85" s="23">
        <f t="shared" si="4"/>
        <v>1.789041095890411E-4</v>
      </c>
      <c r="F85" s="22">
        <f t="shared" si="5"/>
        <v>-1.6553542232634081E-3</v>
      </c>
      <c r="N85" s="26">
        <v>52</v>
      </c>
      <c r="O85" s="26">
        <v>2.1850644464345859E-3</v>
      </c>
      <c r="P85" s="26">
        <v>3.640041526961544E-2</v>
      </c>
      <c r="Q85" s="24"/>
      <c r="R85" s="24"/>
      <c r="S85" s="24"/>
      <c r="T85" s="24"/>
      <c r="U85" s="24"/>
      <c r="V85" s="24"/>
    </row>
    <row r="86" spans="1:22" ht="21" x14ac:dyDescent="0.35">
      <c r="A86" s="18">
        <v>45859</v>
      </c>
      <c r="B86" s="19">
        <v>25090.7</v>
      </c>
      <c r="C86" s="20">
        <f t="shared" si="3"/>
        <v>4.8862342043243081E-3</v>
      </c>
      <c r="D86" s="22">
        <f>'Daily Retun &amp; Risk'!D86</f>
        <v>1.6866110854364208E-2</v>
      </c>
      <c r="E86" s="23">
        <f t="shared" si="4"/>
        <v>1.789041095890411E-4</v>
      </c>
      <c r="F86" s="22">
        <f t="shared" si="5"/>
        <v>6.4938700605414075E-3</v>
      </c>
      <c r="N86" s="26">
        <v>53</v>
      </c>
      <c r="O86" s="26">
        <v>8.0628404267163271E-4</v>
      </c>
      <c r="P86" s="26">
        <v>2.1856127302324987E-2</v>
      </c>
      <c r="Q86" s="24"/>
      <c r="R86" s="24"/>
      <c r="S86" s="24"/>
      <c r="T86" s="24"/>
      <c r="U86" s="24"/>
      <c r="V86" s="24"/>
    </row>
    <row r="87" spans="1:22" ht="21" x14ac:dyDescent="0.35">
      <c r="A87" s="18">
        <v>45856</v>
      </c>
      <c r="B87" s="19">
        <v>24968.400000000001</v>
      </c>
      <c r="C87" s="20">
        <f t="shared" si="3"/>
        <v>-5.7128920738239268E-3</v>
      </c>
      <c r="D87" s="22">
        <f>'Daily Retun &amp; Risk'!D87</f>
        <v>-8.1410280978137697E-4</v>
      </c>
      <c r="E87" s="23">
        <f t="shared" si="4"/>
        <v>1.789041095890411E-4</v>
      </c>
      <c r="F87" s="22">
        <f t="shared" si="5"/>
        <v>-7.7250438905344613E-3</v>
      </c>
      <c r="N87" s="26">
        <v>54</v>
      </c>
      <c r="O87" s="26">
        <v>1.4874157814651267E-3</v>
      </c>
      <c r="P87" s="26">
        <v>5.630480000392294E-2</v>
      </c>
      <c r="Q87" s="24"/>
      <c r="R87" s="24"/>
      <c r="S87" s="24"/>
      <c r="T87" s="24"/>
      <c r="U87" s="24"/>
      <c r="V87" s="24"/>
    </row>
    <row r="88" spans="1:22" ht="21" x14ac:dyDescent="0.35">
      <c r="A88" s="18">
        <v>45855</v>
      </c>
      <c r="B88" s="19">
        <v>25111.45</v>
      </c>
      <c r="C88" s="20">
        <f t="shared" si="3"/>
        <v>-3.9981374112852634E-3</v>
      </c>
      <c r="D88" s="22">
        <f>'Daily Retun &amp; Risk'!D88</f>
        <v>-4.6937339514628774E-4</v>
      </c>
      <c r="E88" s="23">
        <f t="shared" si="4"/>
        <v>1.789041095890411E-4</v>
      </c>
      <c r="F88" s="22">
        <f t="shared" si="5"/>
        <v>-5.4246704112496068E-3</v>
      </c>
      <c r="N88" s="26">
        <v>55</v>
      </c>
      <c r="O88" s="26">
        <v>7.8153067616312868E-3</v>
      </c>
      <c r="P88" s="26">
        <v>7.9813563515419086E-3</v>
      </c>
      <c r="Q88" s="24"/>
      <c r="R88" s="24"/>
      <c r="S88" s="24"/>
      <c r="T88" s="24"/>
      <c r="U88" s="24"/>
      <c r="V88" s="24"/>
    </row>
    <row r="89" spans="1:22" ht="21" x14ac:dyDescent="0.35">
      <c r="A89" s="18">
        <v>45854</v>
      </c>
      <c r="B89" s="19">
        <v>25212.05</v>
      </c>
      <c r="C89" s="20">
        <f t="shared" si="3"/>
        <v>6.4474087122986417E-4</v>
      </c>
      <c r="D89" s="22">
        <f>'Daily Retun &amp; Risk'!D89</f>
        <v>2.147084107911159E-2</v>
      </c>
      <c r="E89" s="23">
        <f t="shared" si="4"/>
        <v>1.789041095890411E-4</v>
      </c>
      <c r="F89" s="22">
        <f t="shared" si="5"/>
        <v>8.0383230227172359E-4</v>
      </c>
      <c r="N89" s="26">
        <v>56</v>
      </c>
      <c r="O89" s="26">
        <v>-2.0353575040681169E-3</v>
      </c>
      <c r="P89" s="26">
        <v>-2.2668566002657431E-2</v>
      </c>
      <c r="Q89" s="24"/>
      <c r="R89" s="24"/>
      <c r="S89" s="24"/>
      <c r="T89" s="24"/>
      <c r="U89" s="24"/>
      <c r="V89" s="24"/>
    </row>
    <row r="90" spans="1:22" ht="21" x14ac:dyDescent="0.35">
      <c r="A90" s="18">
        <v>45853</v>
      </c>
      <c r="B90" s="19">
        <v>25195.8</v>
      </c>
      <c r="C90" s="20">
        <f t="shared" si="3"/>
        <v>4.5148958612713751E-3</v>
      </c>
      <c r="D90" s="22">
        <f>'Daily Retun &amp; Risk'!D90</f>
        <v>1.1735148416813175E-2</v>
      </c>
      <c r="E90" s="23">
        <f t="shared" si="4"/>
        <v>1.789041095890411E-4</v>
      </c>
      <c r="F90" s="22">
        <f t="shared" si="5"/>
        <v>5.9957131551471986E-3</v>
      </c>
      <c r="N90" s="26">
        <v>57</v>
      </c>
      <c r="O90" s="26">
        <v>1.1284123939378705E-2</v>
      </c>
      <c r="P90" s="26">
        <v>2.4299608471871972E-2</v>
      </c>
      <c r="Q90" s="24"/>
      <c r="R90" s="24"/>
      <c r="S90" s="24"/>
      <c r="T90" s="24"/>
      <c r="U90" s="24"/>
      <c r="V90" s="24"/>
    </row>
    <row r="91" spans="1:22" ht="21" x14ac:dyDescent="0.35">
      <c r="A91" s="18">
        <v>45852</v>
      </c>
      <c r="B91" s="19">
        <v>25082.3</v>
      </c>
      <c r="C91" s="20">
        <f t="shared" si="3"/>
        <v>-2.6895142142431107E-3</v>
      </c>
      <c r="D91" s="22">
        <f>'Daily Retun &amp; Risk'!D91</f>
        <v>6.1311077173769038E-3</v>
      </c>
      <c r="E91" s="23">
        <f t="shared" si="4"/>
        <v>1.789041095890411E-4</v>
      </c>
      <c r="F91" s="22">
        <f t="shared" si="5"/>
        <v>-3.6691294218488255E-3</v>
      </c>
      <c r="N91" s="26">
        <v>58</v>
      </c>
      <c r="O91" s="26">
        <v>-3.6177144052059237E-3</v>
      </c>
      <c r="P91" s="26">
        <v>-2.5884948848327677E-2</v>
      </c>
      <c r="Q91" s="24"/>
      <c r="R91" s="24"/>
      <c r="S91" s="24"/>
      <c r="T91" s="24"/>
      <c r="U91" s="24"/>
      <c r="V91" s="24"/>
    </row>
    <row r="92" spans="1:22" ht="21" x14ac:dyDescent="0.35">
      <c r="A92" s="18">
        <v>45849</v>
      </c>
      <c r="B92" s="19">
        <v>25149.85</v>
      </c>
      <c r="C92" s="20">
        <f t="shared" si="3"/>
        <v>-8.1338768732905544E-3</v>
      </c>
      <c r="D92" s="22">
        <f>'Daily Retun &amp; Risk'!D92</f>
        <v>-2.8611868988995946E-2</v>
      </c>
      <c r="E92" s="23">
        <f t="shared" si="4"/>
        <v>1.789041095890411E-4</v>
      </c>
      <c r="F92" s="22">
        <f t="shared" si="5"/>
        <v>-1.0972837495130783E-2</v>
      </c>
      <c r="N92" s="26">
        <v>59</v>
      </c>
      <c r="O92" s="26">
        <v>-1.1068788519909521E-2</v>
      </c>
      <c r="P92" s="26">
        <v>3.5348399129372932E-4</v>
      </c>
      <c r="Q92" s="24"/>
      <c r="R92" s="24"/>
      <c r="S92" s="24"/>
      <c r="T92" s="24"/>
      <c r="U92" s="24"/>
      <c r="V92" s="24"/>
    </row>
    <row r="93" spans="1:22" ht="21" x14ac:dyDescent="0.35">
      <c r="A93" s="18">
        <v>45848</v>
      </c>
      <c r="B93" s="19">
        <v>25355.25</v>
      </c>
      <c r="C93" s="20">
        <f t="shared" si="3"/>
        <v>-4.7549485778671007E-3</v>
      </c>
      <c r="D93" s="22">
        <f>'Daily Retun &amp; Risk'!D93</f>
        <v>-4.3857643619204271E-3</v>
      </c>
      <c r="E93" s="23">
        <f t="shared" si="4"/>
        <v>1.789041095890411E-4</v>
      </c>
      <c r="F93" s="22">
        <f t="shared" si="5"/>
        <v>-6.4399458757023742E-3</v>
      </c>
      <c r="N93" s="26">
        <v>60</v>
      </c>
      <c r="O93" s="26">
        <v>-1.3366654922583864E-2</v>
      </c>
      <c r="P93" s="26">
        <v>-6.8726795613089069E-3</v>
      </c>
      <c r="Q93" s="24"/>
      <c r="R93" s="24"/>
      <c r="S93" s="24"/>
      <c r="T93" s="24"/>
      <c r="U93" s="24"/>
      <c r="V93" s="24"/>
    </row>
    <row r="94" spans="1:22" ht="21" x14ac:dyDescent="0.35">
      <c r="A94" s="18">
        <v>45847</v>
      </c>
      <c r="B94" s="19">
        <v>25476.1</v>
      </c>
      <c r="C94" s="20">
        <f t="shared" si="3"/>
        <v>-1.8196582966253595E-3</v>
      </c>
      <c r="D94" s="22">
        <f>'Daily Retun &amp; Risk'!D94</f>
        <v>5.8097476413211573E-3</v>
      </c>
      <c r="E94" s="23">
        <f t="shared" si="4"/>
        <v>1.789041095890411E-4</v>
      </c>
      <c r="F94" s="22">
        <f t="shared" si="5"/>
        <v>-2.5022024395804508E-3</v>
      </c>
      <c r="N94" s="26">
        <v>61</v>
      </c>
      <c r="O94" s="26">
        <v>5.6999672439246715E-3</v>
      </c>
      <c r="P94" s="26">
        <v>-6.9055128992732305E-3</v>
      </c>
      <c r="Q94" s="24"/>
      <c r="R94" s="24"/>
      <c r="S94" s="24"/>
      <c r="T94" s="24"/>
      <c r="U94" s="24"/>
      <c r="V94" s="24"/>
    </row>
    <row r="95" spans="1:22" ht="21" x14ac:dyDescent="0.35">
      <c r="A95" s="18">
        <v>45846</v>
      </c>
      <c r="B95" s="19">
        <v>25522.5</v>
      </c>
      <c r="C95" s="20">
        <f t="shared" si="3"/>
        <v>2.4007637482767337E-3</v>
      </c>
      <c r="D95" s="22">
        <f>'Daily Retun &amp; Risk'!D95</f>
        <v>-7.2806701432350895E-4</v>
      </c>
      <c r="E95" s="23">
        <f t="shared" si="4"/>
        <v>1.789041095890411E-4</v>
      </c>
      <c r="F95" s="22">
        <f t="shared" si="5"/>
        <v>3.1595678157099491E-3</v>
      </c>
      <c r="N95" s="26">
        <v>62</v>
      </c>
      <c r="O95" s="26">
        <v>-1.1032326139545719E-2</v>
      </c>
      <c r="P95" s="26">
        <v>1.9264768143140432E-2</v>
      </c>
      <c r="Q95" s="24"/>
      <c r="R95" s="24"/>
      <c r="S95" s="24"/>
      <c r="T95" s="24"/>
      <c r="U95" s="24"/>
      <c r="V95" s="24"/>
    </row>
    <row r="96" spans="1:22" ht="21" x14ac:dyDescent="0.35">
      <c r="A96" s="18">
        <v>45845</v>
      </c>
      <c r="B96" s="19">
        <v>25461.3</v>
      </c>
      <c r="C96" s="20">
        <f t="shared" si="3"/>
        <v>1.1782657107136236E-5</v>
      </c>
      <c r="D96" s="22">
        <f>'Daily Retun &amp; Risk'!D96</f>
        <v>-7.2753731837708999E-4</v>
      </c>
      <c r="E96" s="23">
        <f t="shared" si="4"/>
        <v>1.789041095890411E-4</v>
      </c>
      <c r="F96" s="22">
        <f t="shared" si="5"/>
        <v>-4.5292252437337065E-5</v>
      </c>
      <c r="N96" s="26">
        <v>63</v>
      </c>
      <c r="O96" s="26">
        <v>2.219707635729388E-3</v>
      </c>
      <c r="P96" s="26">
        <v>-8.2752300022311265E-3</v>
      </c>
      <c r="Q96" s="24"/>
      <c r="R96" s="24"/>
      <c r="S96" s="24"/>
      <c r="T96" s="24"/>
      <c r="U96" s="24"/>
      <c r="V96" s="24"/>
    </row>
    <row r="97" spans="1:22" ht="21" x14ac:dyDescent="0.35">
      <c r="A97" s="18">
        <v>45842</v>
      </c>
      <c r="B97" s="19">
        <v>25461</v>
      </c>
      <c r="C97" s="20">
        <f t="shared" si="3"/>
        <v>2.1900559806014813E-3</v>
      </c>
      <c r="D97" s="22">
        <f>'Daily Retun &amp; Risk'!D97</f>
        <v>-3.7557840547780136E-3</v>
      </c>
      <c r="E97" s="23">
        <f t="shared" si="4"/>
        <v>1.789041095890411E-4</v>
      </c>
      <c r="F97" s="22">
        <f t="shared" si="5"/>
        <v>2.8768996467709207E-3</v>
      </c>
      <c r="N97" s="26">
        <v>64</v>
      </c>
      <c r="O97" s="26">
        <v>4.1914908769347297E-3</v>
      </c>
      <c r="P97" s="26">
        <v>8.1353216037237316E-3</v>
      </c>
      <c r="Q97" s="24"/>
      <c r="R97" s="24"/>
      <c r="S97" s="24"/>
      <c r="T97" s="24"/>
      <c r="U97" s="24"/>
      <c r="V97" s="24"/>
    </row>
    <row r="98" spans="1:22" ht="21" x14ac:dyDescent="0.35">
      <c r="A98" s="18">
        <v>45841</v>
      </c>
      <c r="B98" s="19">
        <v>25405.3</v>
      </c>
      <c r="C98" s="20">
        <f t="shared" si="3"/>
        <v>-1.8915156833006601E-3</v>
      </c>
      <c r="D98" s="22">
        <f>'Daily Retun &amp; Risk'!D98</f>
        <v>2.9023933555154999E-3</v>
      </c>
      <c r="E98" s="23">
        <f t="shared" si="4"/>
        <v>1.789041095890411E-4</v>
      </c>
      <c r="F98" s="22">
        <f t="shared" si="5"/>
        <v>-2.5986003851348649E-3</v>
      </c>
      <c r="N98" s="26">
        <v>65</v>
      </c>
      <c r="O98" s="26">
        <v>6.0234605956700511E-3</v>
      </c>
      <c r="P98" s="26">
        <v>-1.4662246118867597E-2</v>
      </c>
      <c r="Q98" s="24"/>
      <c r="R98" s="24"/>
      <c r="S98" s="24"/>
      <c r="T98" s="24"/>
      <c r="U98" s="24"/>
      <c r="V98" s="24"/>
    </row>
    <row r="99" spans="1:22" ht="21" x14ac:dyDescent="0.35">
      <c r="A99" s="18">
        <v>45840</v>
      </c>
      <c r="B99" s="19">
        <v>25453.4</v>
      </c>
      <c r="C99" s="20">
        <f t="shared" si="3"/>
        <v>-3.4669964446766102E-3</v>
      </c>
      <c r="D99" s="22">
        <f>'Daily Retun &amp; Risk'!D99</f>
        <v>-3.4377842824054781E-3</v>
      </c>
      <c r="E99" s="23">
        <f t="shared" si="4"/>
        <v>1.789041095890411E-4</v>
      </c>
      <c r="F99" s="22">
        <f t="shared" si="5"/>
        <v>-4.7121354813026116E-3</v>
      </c>
      <c r="N99" s="26">
        <v>66</v>
      </c>
      <c r="O99" s="26">
        <v>1.375573540507098E-2</v>
      </c>
      <c r="P99" s="26">
        <v>2.1654446809216576E-2</v>
      </c>
      <c r="Q99" s="24"/>
      <c r="R99" s="24"/>
      <c r="S99" s="24"/>
      <c r="T99" s="24"/>
      <c r="U99" s="24"/>
      <c r="V99" s="24"/>
    </row>
    <row r="100" spans="1:22" ht="21" x14ac:dyDescent="0.35">
      <c r="A100" s="18">
        <v>45839</v>
      </c>
      <c r="B100" s="19">
        <v>25541.8</v>
      </c>
      <c r="C100" s="20">
        <f t="shared" si="3"/>
        <v>9.6946961940914944E-4</v>
      </c>
      <c r="D100" s="22">
        <f>'Daily Retun &amp; Risk'!D100</f>
        <v>-2.2329510952751185E-3</v>
      </c>
      <c r="E100" s="23">
        <f t="shared" si="4"/>
        <v>1.789041095890411E-4</v>
      </c>
      <c r="F100" s="22">
        <f t="shared" si="5"/>
        <v>1.2394616179938233E-3</v>
      </c>
      <c r="N100" s="26">
        <v>67</v>
      </c>
      <c r="O100" s="26">
        <v>1.0939464200746664E-3</v>
      </c>
      <c r="P100" s="26">
        <v>-6.2256089735380467E-3</v>
      </c>
      <c r="Q100" s="24"/>
      <c r="R100" s="24"/>
      <c r="S100" s="24"/>
      <c r="T100" s="24"/>
      <c r="U100" s="24"/>
      <c r="V100" s="24"/>
    </row>
    <row r="101" spans="1:22" ht="21" x14ac:dyDescent="0.35">
      <c r="A101" s="18">
        <v>45838</v>
      </c>
      <c r="B101" s="19">
        <v>25517.05</v>
      </c>
      <c r="C101" s="20">
        <f t="shared" si="3"/>
        <v>-4.7209687553906882E-3</v>
      </c>
      <c r="D101" s="22">
        <f>'Daily Retun &amp; Risk'!D101</f>
        <v>-6.2945483021054896E-3</v>
      </c>
      <c r="E101" s="23">
        <f t="shared" si="4"/>
        <v>1.789041095890411E-4</v>
      </c>
      <c r="F101" s="22">
        <f t="shared" si="5"/>
        <v>-6.394361347394505E-3</v>
      </c>
      <c r="N101" s="26">
        <v>68</v>
      </c>
      <c r="O101" s="26">
        <v>7.6522860242259575E-3</v>
      </c>
      <c r="P101" s="26">
        <v>6.3691442357365156E-3</v>
      </c>
      <c r="Q101" s="24"/>
      <c r="R101" s="24"/>
      <c r="S101" s="24"/>
      <c r="T101" s="24"/>
      <c r="U101" s="24"/>
      <c r="V101" s="24"/>
    </row>
    <row r="102" spans="1:22" ht="21" x14ac:dyDescent="0.35">
      <c r="A102" s="18">
        <v>45835</v>
      </c>
      <c r="B102" s="19">
        <v>25637.8</v>
      </c>
      <c r="C102" s="20">
        <f t="shared" si="3"/>
        <v>3.4696479984903748E-3</v>
      </c>
      <c r="D102" s="22">
        <f>'Daily Retun &amp; Risk'!D102</f>
        <v>-3.894631895486997E-3</v>
      </c>
      <c r="E102" s="23">
        <f t="shared" si="4"/>
        <v>1.789041095890411E-4</v>
      </c>
      <c r="F102" s="22">
        <f t="shared" si="5"/>
        <v>4.5934947997465329E-3</v>
      </c>
      <c r="N102" s="26">
        <v>69</v>
      </c>
      <c r="O102" s="26">
        <v>-4.8960741630606434E-3</v>
      </c>
      <c r="P102" s="26">
        <v>2.0559589009831104E-2</v>
      </c>
      <c r="Q102" s="24"/>
      <c r="R102" s="24"/>
      <c r="S102" s="24"/>
      <c r="T102" s="24"/>
      <c r="U102" s="24"/>
      <c r="V102" s="24"/>
    </row>
    <row r="103" spans="1:22" ht="21" x14ac:dyDescent="0.35">
      <c r="A103" s="18">
        <v>45834</v>
      </c>
      <c r="B103" s="19">
        <v>25549</v>
      </c>
      <c r="C103" s="20">
        <f t="shared" si="3"/>
        <v>1.1979963629751521E-2</v>
      </c>
      <c r="D103" s="22">
        <f>'Daily Retun &amp; Risk'!D103</f>
        <v>9.3293735393468657E-5</v>
      </c>
      <c r="E103" s="23">
        <f t="shared" si="4"/>
        <v>1.789041095890411E-4</v>
      </c>
      <c r="F103" s="22">
        <f t="shared" si="5"/>
        <v>1.6010232602642043E-2</v>
      </c>
      <c r="N103" s="26">
        <v>70</v>
      </c>
      <c r="O103" s="26">
        <v>1.2597942630198127E-2</v>
      </c>
      <c r="P103" s="26">
        <v>6.7155575118286841E-4</v>
      </c>
      <c r="Q103" s="24"/>
      <c r="R103" s="24"/>
      <c r="S103" s="24"/>
      <c r="T103" s="24"/>
      <c r="U103" s="24"/>
      <c r="V103" s="24"/>
    </row>
    <row r="104" spans="1:22" ht="21" x14ac:dyDescent="0.35">
      <c r="A104" s="18">
        <v>45833</v>
      </c>
      <c r="B104" s="19">
        <v>25244.75</v>
      </c>
      <c r="C104" s="20">
        <f t="shared" si="3"/>
        <v>7.969960122065977E-3</v>
      </c>
      <c r="D104" s="22">
        <f>'Daily Retun &amp; Risk'!D104</f>
        <v>2.054866822738776E-2</v>
      </c>
      <c r="E104" s="23">
        <f t="shared" si="4"/>
        <v>1.789041095890411E-4</v>
      </c>
      <c r="F104" s="22">
        <f t="shared" si="5"/>
        <v>1.0630742508553392E-2</v>
      </c>
      <c r="N104" s="26">
        <v>71</v>
      </c>
      <c r="O104" s="26">
        <v>-1.2317604024529968E-2</v>
      </c>
      <c r="P104" s="26">
        <v>-8.7364677687616528E-3</v>
      </c>
      <c r="Q104" s="24"/>
      <c r="R104" s="24"/>
      <c r="S104" s="24"/>
      <c r="T104" s="24"/>
      <c r="U104" s="24"/>
      <c r="V104" s="24"/>
    </row>
    <row r="105" spans="1:22" ht="21" x14ac:dyDescent="0.35">
      <c r="A105" s="18">
        <v>45832</v>
      </c>
      <c r="B105" s="19">
        <v>25044.35</v>
      </c>
      <c r="C105" s="20">
        <f t="shared" si="3"/>
        <v>2.8970604822426802E-3</v>
      </c>
      <c r="D105" s="22">
        <f>'Daily Retun &amp; Risk'!D105</f>
        <v>4.8050242805089691E-3</v>
      </c>
      <c r="E105" s="23">
        <f t="shared" si="4"/>
        <v>1.789041095890411E-4</v>
      </c>
      <c r="F105" s="22">
        <f t="shared" si="5"/>
        <v>3.8253585959377953E-3</v>
      </c>
      <c r="N105" s="26">
        <v>72</v>
      </c>
      <c r="O105" s="26">
        <v>1.6406708140572017E-3</v>
      </c>
      <c r="P105" s="26">
        <v>-6.7349569841495902E-3</v>
      </c>
      <c r="Q105" s="24"/>
      <c r="R105" s="24"/>
      <c r="S105" s="24"/>
      <c r="T105" s="24"/>
      <c r="U105" s="24"/>
      <c r="V105" s="24"/>
    </row>
    <row r="106" spans="1:22" ht="21" x14ac:dyDescent="0.35">
      <c r="A106" s="18">
        <v>45831</v>
      </c>
      <c r="B106" s="19">
        <v>24971.9</v>
      </c>
      <c r="C106" s="20">
        <f t="shared" si="3"/>
        <v>-5.610555346030624E-3</v>
      </c>
      <c r="D106" s="22">
        <f>'Daily Retun &amp; Risk'!D106</f>
        <v>-1.5634714147402102E-2</v>
      </c>
      <c r="E106" s="23">
        <f t="shared" si="4"/>
        <v>1.789041095890411E-4</v>
      </c>
      <c r="F106" s="22">
        <f t="shared" si="5"/>
        <v>-7.5877573738592531E-3</v>
      </c>
      <c r="N106" s="26">
        <v>73</v>
      </c>
      <c r="O106" s="26">
        <v>-3.6641553372990677E-3</v>
      </c>
      <c r="P106" s="26">
        <v>8.4159384292998955E-3</v>
      </c>
      <c r="Q106" s="24"/>
      <c r="R106" s="24"/>
      <c r="S106" s="24"/>
      <c r="T106" s="24"/>
      <c r="U106" s="24"/>
      <c r="V106" s="24"/>
    </row>
    <row r="107" spans="1:22" ht="21" x14ac:dyDescent="0.35">
      <c r="A107" s="18">
        <v>45828</v>
      </c>
      <c r="B107" s="19">
        <v>25112.400000000001</v>
      </c>
      <c r="C107" s="20">
        <f t="shared" si="3"/>
        <v>1.2790309347901757E-2</v>
      </c>
      <c r="D107" s="22">
        <f>'Daily Retun &amp; Risk'!D107</f>
        <v>2.8540604539123701E-2</v>
      </c>
      <c r="E107" s="23">
        <f t="shared" si="4"/>
        <v>1.789041095890411E-4</v>
      </c>
      <c r="F107" s="22">
        <f t="shared" si="5"/>
        <v>1.7097325607728309E-2</v>
      </c>
      <c r="N107" s="26">
        <v>74</v>
      </c>
      <c r="O107" s="26">
        <v>-3.5349604414300516E-3</v>
      </c>
      <c r="P107" s="26">
        <v>7.2777132354525757E-3</v>
      </c>
      <c r="Q107" s="24"/>
      <c r="R107" s="24"/>
      <c r="S107" s="24"/>
      <c r="T107" s="24"/>
      <c r="U107" s="24"/>
      <c r="V107" s="24"/>
    </row>
    <row r="108" spans="1:22" ht="21" x14ac:dyDescent="0.35">
      <c r="A108" s="18">
        <v>45827</v>
      </c>
      <c r="B108" s="19">
        <v>24793.25</v>
      </c>
      <c r="C108" s="20">
        <f t="shared" si="3"/>
        <v>-7.5798355821293751E-4</v>
      </c>
      <c r="D108" s="22">
        <f>'Daily Retun &amp; Risk'!D108</f>
        <v>1.7503991618835917E-2</v>
      </c>
      <c r="E108" s="23">
        <f t="shared" si="4"/>
        <v>1.789041095890411E-4</v>
      </c>
      <c r="F108" s="22">
        <f t="shared" si="5"/>
        <v>-1.0779471421754469E-3</v>
      </c>
      <c r="N108" s="26">
        <v>75</v>
      </c>
      <c r="O108" s="26">
        <v>9.0111619588570183E-3</v>
      </c>
      <c r="P108" s="26">
        <v>3.8516618212558681E-3</v>
      </c>
      <c r="Q108" s="24"/>
      <c r="R108" s="24"/>
      <c r="S108" s="24"/>
      <c r="T108" s="24"/>
      <c r="U108" s="24"/>
      <c r="V108" s="24"/>
    </row>
    <row r="109" spans="1:22" ht="21" x14ac:dyDescent="0.35">
      <c r="A109" s="18">
        <v>45826</v>
      </c>
      <c r="B109" s="19">
        <v>24812.05</v>
      </c>
      <c r="C109" s="20">
        <f t="shared" si="3"/>
        <v>-1.6651418462635466E-3</v>
      </c>
      <c r="D109" s="22">
        <f>'Daily Retun &amp; Risk'!D109</f>
        <v>1.1209878806495507E-2</v>
      </c>
      <c r="E109" s="23">
        <f t="shared" si="4"/>
        <v>1.789041095890411E-4</v>
      </c>
      <c r="F109" s="22">
        <f t="shared" si="5"/>
        <v>-2.2949159091567237E-3</v>
      </c>
      <c r="N109" s="26">
        <v>76</v>
      </c>
      <c r="O109" s="26">
        <v>-1.0597362695664097E-2</v>
      </c>
      <c r="P109" s="26">
        <v>-3.1712441020410147E-3</v>
      </c>
      <c r="Q109" s="24"/>
      <c r="R109" s="24"/>
      <c r="S109" s="24"/>
      <c r="T109" s="24"/>
      <c r="U109" s="24"/>
      <c r="V109" s="24"/>
    </row>
    <row r="110" spans="1:22" ht="21" x14ac:dyDescent="0.35">
      <c r="A110" s="18">
        <v>45825</v>
      </c>
      <c r="B110" s="19">
        <v>24853.4</v>
      </c>
      <c r="C110" s="20">
        <f t="shared" si="3"/>
        <v>-3.7389676871053394E-3</v>
      </c>
      <c r="D110" s="22">
        <f>'Daily Retun &amp; Risk'!D110</f>
        <v>-5.438761168053436E-3</v>
      </c>
      <c r="E110" s="23">
        <f t="shared" si="4"/>
        <v>1.789041095890411E-4</v>
      </c>
      <c r="F110" s="22">
        <f t="shared" si="5"/>
        <v>-5.0769896769955157E-3</v>
      </c>
      <c r="N110" s="26">
        <v>77</v>
      </c>
      <c r="O110" s="26">
        <v>-4.2447508792222899E-3</v>
      </c>
      <c r="P110" s="26">
        <v>2.4356424631621779E-3</v>
      </c>
      <c r="Q110" s="24"/>
      <c r="R110" s="24"/>
      <c r="S110" s="24"/>
      <c r="T110" s="24"/>
      <c r="U110" s="24"/>
      <c r="V110" s="24"/>
    </row>
    <row r="111" spans="1:22" ht="21" x14ac:dyDescent="0.35">
      <c r="A111" s="18">
        <v>45824</v>
      </c>
      <c r="B111" s="19">
        <v>24946.5</v>
      </c>
      <c r="C111" s="20">
        <f t="shared" si="3"/>
        <v>9.177535114667245E-3</v>
      </c>
      <c r="D111" s="22">
        <f>'Daily Retun &amp; Risk'!D111</f>
        <v>5.8378831051017722E-3</v>
      </c>
      <c r="E111" s="23">
        <f t="shared" si="4"/>
        <v>1.789041095890411E-4</v>
      </c>
      <c r="F111" s="22">
        <f t="shared" si="5"/>
        <v>1.2250725557973985E-2</v>
      </c>
      <c r="N111" s="26">
        <v>78</v>
      </c>
      <c r="O111" s="26">
        <v>2.2766021725183303E-3</v>
      </c>
      <c r="P111" s="26">
        <v>6.8830488841282707E-4</v>
      </c>
      <c r="Q111" s="24"/>
      <c r="R111" s="24"/>
      <c r="S111" s="24"/>
      <c r="T111" s="24"/>
      <c r="U111" s="24"/>
      <c r="V111" s="24"/>
    </row>
    <row r="112" spans="1:22" ht="21" x14ac:dyDescent="0.35">
      <c r="A112" s="18">
        <v>45821</v>
      </c>
      <c r="B112" s="19">
        <v>24718.6</v>
      </c>
      <c r="C112" s="20">
        <f t="shared" si="3"/>
        <v>-6.8377988828330826E-3</v>
      </c>
      <c r="D112" s="22">
        <f>'Daily Retun &amp; Risk'!D112</f>
        <v>-4.3816043013659512E-3</v>
      </c>
      <c r="E112" s="23">
        <f t="shared" si="4"/>
        <v>1.789041095890411E-4</v>
      </c>
      <c r="F112" s="22">
        <f t="shared" si="5"/>
        <v>-9.2341261205722922E-3</v>
      </c>
      <c r="N112" s="26">
        <v>79</v>
      </c>
      <c r="O112" s="26">
        <v>8.0418804069141581E-3</v>
      </c>
      <c r="P112" s="26">
        <v>-1.1287218086474673E-2</v>
      </c>
      <c r="Q112" s="24"/>
      <c r="R112" s="24"/>
      <c r="S112" s="24"/>
      <c r="T112" s="24"/>
      <c r="U112" s="24"/>
      <c r="V112" s="24"/>
    </row>
    <row r="113" spans="1:22" ht="21" x14ac:dyDescent="0.35">
      <c r="A113" s="18">
        <v>45820</v>
      </c>
      <c r="B113" s="19">
        <v>24888.2</v>
      </c>
      <c r="C113" s="20">
        <f t="shared" si="3"/>
        <v>-1.0122094193621185E-2</v>
      </c>
      <c r="D113" s="22">
        <f>'Daily Retun &amp; Risk'!D113</f>
        <v>-2.0164948258073214E-2</v>
      </c>
      <c r="E113" s="23">
        <f t="shared" si="4"/>
        <v>1.789041095890411E-4</v>
      </c>
      <c r="F113" s="22">
        <f t="shared" si="5"/>
        <v>-1.3640065929997489E-2</v>
      </c>
      <c r="N113" s="26">
        <v>80</v>
      </c>
      <c r="O113" s="26">
        <v>-8.0150710850358901E-3</v>
      </c>
      <c r="P113" s="26">
        <v>-3.3229890994585769E-3</v>
      </c>
      <c r="Q113" s="24"/>
      <c r="R113" s="24"/>
      <c r="S113" s="24"/>
      <c r="T113" s="24"/>
      <c r="U113" s="24"/>
      <c r="V113" s="24"/>
    </row>
    <row r="114" spans="1:22" ht="21" x14ac:dyDescent="0.35">
      <c r="A114" s="18">
        <v>45819</v>
      </c>
      <c r="B114" s="19">
        <v>25141.4</v>
      </c>
      <c r="C114" s="20">
        <f t="shared" si="3"/>
        <v>1.4787352445249067E-3</v>
      </c>
      <c r="D114" s="22">
        <f>'Daily Retun &amp; Risk'!D114</f>
        <v>4.2939462872923877E-3</v>
      </c>
      <c r="E114" s="23">
        <f t="shared" si="4"/>
        <v>1.789041095890411E-4</v>
      </c>
      <c r="F114" s="22">
        <f t="shared" si="5"/>
        <v>1.9226503933451177E-3</v>
      </c>
      <c r="N114" s="26">
        <v>81</v>
      </c>
      <c r="O114" s="26">
        <v>-1.1660586461432747E-2</v>
      </c>
      <c r="P114" s="26">
        <v>7.204045653907247E-3</v>
      </c>
      <c r="Q114" s="24"/>
      <c r="R114" s="24"/>
      <c r="S114" s="24"/>
      <c r="T114" s="24"/>
      <c r="U114" s="24"/>
      <c r="V114" s="24"/>
    </row>
    <row r="115" spans="1:22" ht="21" x14ac:dyDescent="0.35">
      <c r="A115" s="18">
        <v>45818</v>
      </c>
      <c r="B115" s="19">
        <v>25104.25</v>
      </c>
      <c r="C115" s="20">
        <f t="shared" si="3"/>
        <v>4.1826462015294284E-5</v>
      </c>
      <c r="D115" s="22">
        <f>'Daily Retun &amp; Risk'!D115</f>
        <v>-6.4664151626744985E-3</v>
      </c>
      <c r="E115" s="23">
        <f t="shared" si="4"/>
        <v>1.789041095890411E-4</v>
      </c>
      <c r="F115" s="22">
        <f t="shared" si="5"/>
        <v>-4.9879607871158534E-6</v>
      </c>
      <c r="N115" s="26">
        <v>82</v>
      </c>
      <c r="O115" s="26">
        <v>-7.9772522354561917E-3</v>
      </c>
      <c r="P115" s="26">
        <v>5.5575380511743606E-3</v>
      </c>
      <c r="Q115" s="24"/>
      <c r="R115" s="24"/>
      <c r="S115" s="24"/>
      <c r="T115" s="24"/>
      <c r="U115" s="24"/>
      <c r="V115" s="24"/>
    </row>
    <row r="116" spans="1:22" ht="21" x14ac:dyDescent="0.35">
      <c r="A116" s="18">
        <v>45817</v>
      </c>
      <c r="B116" s="19">
        <v>25103.200000000001</v>
      </c>
      <c r="C116" s="20">
        <f t="shared" si="3"/>
        <v>3.9975106246084267E-3</v>
      </c>
      <c r="D116" s="22">
        <f>'Daily Retun &amp; Risk'!D116</f>
        <v>-6.1673777560076332E-3</v>
      </c>
      <c r="E116" s="23">
        <f t="shared" si="4"/>
        <v>1.789041095890411E-4</v>
      </c>
      <c r="F116" s="22">
        <f t="shared" si="5"/>
        <v>5.3016317783799102E-3</v>
      </c>
      <c r="N116" s="26">
        <v>83</v>
      </c>
      <c r="O116" s="26">
        <v>8.9273759614089867E-3</v>
      </c>
      <c r="P116" s="26">
        <v>-5.3723614910274973E-3</v>
      </c>
      <c r="Q116" s="24"/>
      <c r="R116" s="24"/>
      <c r="S116" s="24"/>
      <c r="T116" s="24"/>
      <c r="U116" s="24"/>
      <c r="V116" s="24"/>
    </row>
    <row r="117" spans="1:22" ht="21" x14ac:dyDescent="0.35">
      <c r="A117" s="18">
        <v>45814</v>
      </c>
      <c r="B117" s="19">
        <v>25003.05</v>
      </c>
      <c r="C117" s="20">
        <f t="shared" si="3"/>
        <v>1.0135965436883998E-2</v>
      </c>
      <c r="D117" s="22">
        <f>'Daily Retun &amp; Risk'!D117</f>
        <v>2.111299776958396E-2</v>
      </c>
      <c r="E117" s="23">
        <f t="shared" si="4"/>
        <v>1.789041095890411E-4</v>
      </c>
      <c r="F117" s="22">
        <f t="shared" si="5"/>
        <v>1.3536476658779139E-2</v>
      </c>
      <c r="N117" s="26">
        <v>84</v>
      </c>
      <c r="O117" s="26">
        <v>-1.1513108789657544E-3</v>
      </c>
      <c r="P117" s="26">
        <v>4.3801456157238055E-3</v>
      </c>
      <c r="Q117" s="24"/>
      <c r="R117" s="24"/>
      <c r="S117" s="24"/>
      <c r="T117" s="24"/>
      <c r="U117" s="24"/>
      <c r="V117" s="24"/>
    </row>
    <row r="118" spans="1:22" ht="21" x14ac:dyDescent="0.35">
      <c r="A118" s="18">
        <v>45813</v>
      </c>
      <c r="B118" s="19">
        <v>24750.9</v>
      </c>
      <c r="C118" s="20">
        <f t="shared" si="3"/>
        <v>5.2946077897617046E-3</v>
      </c>
      <c r="D118" s="22">
        <f>'Daily Retun &amp; Risk'!D118</f>
        <v>-3.8720310886773287E-3</v>
      </c>
      <c r="E118" s="23">
        <f t="shared" si="4"/>
        <v>1.789041095890411E-4</v>
      </c>
      <c r="F118" s="22">
        <f t="shared" si="5"/>
        <v>7.0417103936826347E-3</v>
      </c>
      <c r="N118" s="26">
        <v>85</v>
      </c>
      <c r="O118" s="26">
        <v>6.9979134048390604E-3</v>
      </c>
      <c r="P118" s="26">
        <v>9.8681974495251484E-3</v>
      </c>
      <c r="Q118" s="24"/>
      <c r="R118" s="24"/>
      <c r="S118" s="24"/>
      <c r="T118" s="24"/>
      <c r="U118" s="24"/>
      <c r="V118" s="24"/>
    </row>
    <row r="119" spans="1:22" ht="21" x14ac:dyDescent="0.35">
      <c r="A119" s="18">
        <v>45812</v>
      </c>
      <c r="B119" s="19">
        <v>24620.2</v>
      </c>
      <c r="C119" s="20">
        <f t="shared" si="3"/>
        <v>3.1609356156210005E-3</v>
      </c>
      <c r="D119" s="22">
        <f>'Daily Retun &amp; Risk'!D119</f>
        <v>2.2623331342930203E-3</v>
      </c>
      <c r="E119" s="23">
        <f t="shared" si="4"/>
        <v>1.789041095890411E-4</v>
      </c>
      <c r="F119" s="22">
        <f t="shared" si="5"/>
        <v>4.1793517192266812E-3</v>
      </c>
      <c r="N119" s="26">
        <v>86</v>
      </c>
      <c r="O119" s="26">
        <v>-7.2210005462368084E-3</v>
      </c>
      <c r="P119" s="26">
        <v>6.4068977364554313E-3</v>
      </c>
      <c r="Q119" s="24"/>
      <c r="R119" s="24"/>
      <c r="S119" s="24"/>
      <c r="T119" s="24"/>
      <c r="U119" s="24"/>
      <c r="V119" s="24"/>
    </row>
    <row r="120" spans="1:22" ht="21" x14ac:dyDescent="0.35">
      <c r="A120" s="18">
        <v>45811</v>
      </c>
      <c r="B120" s="19">
        <v>24542.5</v>
      </c>
      <c r="C120" s="20">
        <f t="shared" si="3"/>
        <v>-7.0687740923206172E-3</v>
      </c>
      <c r="D120" s="22">
        <f>'Daily Retun &amp; Risk'!D120</f>
        <v>6.7848228129453675E-3</v>
      </c>
      <c r="E120" s="23">
        <f t="shared" si="4"/>
        <v>1.789041095890411E-4</v>
      </c>
      <c r="F120" s="22">
        <f t="shared" si="5"/>
        <v>-9.5439834184616393E-3</v>
      </c>
      <c r="N120" s="26">
        <v>87</v>
      </c>
      <c r="O120" s="26">
        <v>-4.920627066951953E-3</v>
      </c>
      <c r="P120" s="26">
        <v>4.4512536718056654E-3</v>
      </c>
      <c r="Q120" s="24"/>
      <c r="R120" s="24"/>
      <c r="S120" s="24"/>
      <c r="T120" s="24"/>
      <c r="U120" s="24"/>
      <c r="V120" s="24"/>
    </row>
    <row r="121" spans="1:22" ht="21" x14ac:dyDescent="0.35">
      <c r="A121" s="18">
        <v>45810</v>
      </c>
      <c r="B121" s="19">
        <v>24716.6</v>
      </c>
      <c r="C121" s="20">
        <f t="shared" si="3"/>
        <v>-1.3786887661705169E-3</v>
      </c>
      <c r="D121" s="22">
        <f>'Daily Retun &amp; Risk'!D121</f>
        <v>1.6359669843190861E-2</v>
      </c>
      <c r="E121" s="23">
        <f t="shared" si="4"/>
        <v>1.789041095890411E-4</v>
      </c>
      <c r="F121" s="22">
        <f t="shared" si="5"/>
        <v>-1.9106340740340805E-3</v>
      </c>
      <c r="N121" s="26">
        <v>88</v>
      </c>
      <c r="O121" s="26">
        <v>1.3078756465693775E-3</v>
      </c>
      <c r="P121" s="26">
        <v>2.0162965432542212E-2</v>
      </c>
      <c r="Q121" s="24"/>
      <c r="R121" s="24"/>
      <c r="S121" s="24"/>
      <c r="T121" s="24"/>
      <c r="U121" s="24"/>
      <c r="V121" s="24"/>
    </row>
    <row r="122" spans="1:22" ht="21" x14ac:dyDescent="0.35">
      <c r="A122" s="18">
        <v>45807</v>
      </c>
      <c r="B122" s="19">
        <v>24750.7</v>
      </c>
      <c r="C122" s="20">
        <f t="shared" si="3"/>
        <v>-3.3438034717525197E-3</v>
      </c>
      <c r="D122" s="22">
        <f>'Daily Retun &amp; Risk'!D122</f>
        <v>-1.075889959763247E-2</v>
      </c>
      <c r="E122" s="23">
        <f t="shared" si="4"/>
        <v>1.789041095890411E-4</v>
      </c>
      <c r="F122" s="22">
        <f t="shared" si="5"/>
        <v>-4.5468699456899069E-3</v>
      </c>
      <c r="N122" s="26">
        <v>89</v>
      </c>
      <c r="O122" s="26">
        <v>6.4997564994448533E-3</v>
      </c>
      <c r="P122" s="26">
        <v>5.2353919173683218E-3</v>
      </c>
      <c r="Q122" s="24"/>
      <c r="R122" s="24"/>
      <c r="S122" s="24"/>
      <c r="T122" s="24"/>
      <c r="U122" s="24"/>
      <c r="V122" s="24"/>
    </row>
    <row r="123" spans="1:22" ht="21" x14ac:dyDescent="0.35">
      <c r="A123" s="18">
        <v>45806</v>
      </c>
      <c r="B123" s="19">
        <v>24833.599999999999</v>
      </c>
      <c r="C123" s="20">
        <f t="shared" si="3"/>
        <v>3.2731009002705618E-3</v>
      </c>
      <c r="D123" s="22">
        <f>'Daily Retun &amp; Risk'!D123</f>
        <v>3.7291113335498538E-3</v>
      </c>
      <c r="E123" s="23">
        <f t="shared" si="4"/>
        <v>1.789041095890411E-4</v>
      </c>
      <c r="F123" s="22">
        <f t="shared" si="5"/>
        <v>4.3298234174475175E-3</v>
      </c>
      <c r="N123" s="26">
        <v>90</v>
      </c>
      <c r="O123" s="26">
        <v>-3.1650860775511713E-3</v>
      </c>
      <c r="P123" s="26">
        <v>9.296193794928076E-3</v>
      </c>
      <c r="Q123" s="24"/>
      <c r="R123" s="24"/>
      <c r="S123" s="24"/>
      <c r="T123" s="24"/>
      <c r="U123" s="24"/>
      <c r="V123" s="24"/>
    </row>
    <row r="124" spans="1:22" ht="21" x14ac:dyDescent="0.35">
      <c r="A124" s="18">
        <v>45805</v>
      </c>
      <c r="B124" s="19">
        <v>24752.45</v>
      </c>
      <c r="C124" s="20">
        <f t="shared" si="3"/>
        <v>-2.9750731170425774E-3</v>
      </c>
      <c r="D124" s="22">
        <f>'Daily Retun &amp; Risk'!D124</f>
        <v>-1.3913037465865424E-2</v>
      </c>
      <c r="E124" s="23">
        <f t="shared" si="4"/>
        <v>1.789041095890411E-4</v>
      </c>
      <c r="F124" s="22">
        <f t="shared" si="5"/>
        <v>-4.052211702436451E-3</v>
      </c>
      <c r="N124" s="26">
        <v>91</v>
      </c>
      <c r="O124" s="26">
        <v>-1.0468794150833129E-2</v>
      </c>
      <c r="P124" s="26">
        <v>-1.8143074838162819E-2</v>
      </c>
      <c r="Q124" s="24"/>
      <c r="R124" s="24"/>
      <c r="S124" s="24"/>
      <c r="T124" s="24"/>
      <c r="U124" s="24"/>
      <c r="V124" s="24"/>
    </row>
    <row r="125" spans="1:22" ht="21" x14ac:dyDescent="0.35">
      <c r="A125" s="18">
        <v>45804</v>
      </c>
      <c r="B125" s="19">
        <v>24826.2</v>
      </c>
      <c r="C125" s="20">
        <f t="shared" si="3"/>
        <v>-7.0222766786781181E-3</v>
      </c>
      <c r="D125" s="22">
        <f>'Daily Retun &amp; Risk'!D125</f>
        <v>-1.3202806162004196E-2</v>
      </c>
      <c r="E125" s="23">
        <f t="shared" si="4"/>
        <v>1.789041095890411E-4</v>
      </c>
      <c r="F125" s="22">
        <f t="shared" si="5"/>
        <v>-9.4816063218802621E-3</v>
      </c>
      <c r="N125" s="26">
        <v>92</v>
      </c>
      <c r="O125" s="26">
        <v>-5.9359025314047213E-3</v>
      </c>
      <c r="P125" s="26">
        <v>1.5501381694842942E-3</v>
      </c>
      <c r="Q125" s="24"/>
      <c r="R125" s="24"/>
      <c r="S125" s="24"/>
      <c r="T125" s="24"/>
      <c r="U125" s="24"/>
      <c r="V125" s="24"/>
    </row>
    <row r="126" spans="1:22" ht="21" x14ac:dyDescent="0.35">
      <c r="A126" s="18">
        <v>45803</v>
      </c>
      <c r="B126" s="19">
        <v>25001.15</v>
      </c>
      <c r="C126" s="20">
        <f t="shared" si="3"/>
        <v>5.9373187376564407E-3</v>
      </c>
      <c r="D126" s="22">
        <f>'Daily Retun &amp; Risk'!D126</f>
        <v>2.2157843287682208E-2</v>
      </c>
      <c r="E126" s="23">
        <f t="shared" si="4"/>
        <v>1.789041095890411E-4</v>
      </c>
      <c r="F126" s="22">
        <f t="shared" si="5"/>
        <v>7.9039184119388591E-3</v>
      </c>
      <c r="N126" s="26">
        <v>93</v>
      </c>
      <c r="O126" s="26">
        <v>-1.9981590952827975E-3</v>
      </c>
      <c r="P126" s="26">
        <v>7.8079067366039548E-3</v>
      </c>
      <c r="Q126" s="24"/>
      <c r="R126" s="24"/>
      <c r="S126" s="24"/>
      <c r="T126" s="24"/>
      <c r="U126" s="24"/>
      <c r="V126" s="24"/>
    </row>
    <row r="127" spans="1:22" ht="21" x14ac:dyDescent="0.35">
      <c r="A127" s="18">
        <v>45800</v>
      </c>
      <c r="B127" s="19">
        <v>24853.15</v>
      </c>
      <c r="C127" s="20">
        <f t="shared" si="3"/>
        <v>9.8438309105117507E-3</v>
      </c>
      <c r="D127" s="22">
        <f>'Daily Retun &amp; Risk'!D127</f>
        <v>2.1265999042899648E-3</v>
      </c>
      <c r="E127" s="23">
        <f t="shared" si="4"/>
        <v>1.789041095890411E-4</v>
      </c>
      <c r="F127" s="22">
        <f t="shared" si="5"/>
        <v>1.314457306374517E-2</v>
      </c>
      <c r="N127" s="26">
        <v>94</v>
      </c>
      <c r="O127" s="26">
        <v>3.6636111600076024E-3</v>
      </c>
      <c r="P127" s="26">
        <v>-4.3916781743311116E-3</v>
      </c>
      <c r="Q127" s="24"/>
      <c r="R127" s="24"/>
      <c r="S127" s="24"/>
      <c r="T127" s="24"/>
      <c r="U127" s="24"/>
      <c r="V127" s="24"/>
    </row>
    <row r="128" spans="1:22" ht="21" x14ac:dyDescent="0.35">
      <c r="A128" s="18">
        <v>45799</v>
      </c>
      <c r="B128" s="19">
        <v>24609.7</v>
      </c>
      <c r="C128" s="20">
        <f t="shared" si="3"/>
        <v>-8.2451707060623922E-3</v>
      </c>
      <c r="D128" s="22">
        <f>'Daily Retun &amp; Risk'!D128</f>
        <v>-2.7687515720545917E-2</v>
      </c>
      <c r="E128" s="23">
        <f t="shared" si="4"/>
        <v>1.789041095890411E-4</v>
      </c>
      <c r="F128" s="22">
        <f t="shared" si="5"/>
        <v>-1.1122140125360853E-2</v>
      </c>
      <c r="N128" s="26">
        <v>95</v>
      </c>
      <c r="O128" s="26">
        <v>4.5875109186031669E-4</v>
      </c>
      <c r="P128" s="26">
        <v>-1.1862884102374067E-3</v>
      </c>
      <c r="Q128" s="24"/>
      <c r="R128" s="24"/>
      <c r="S128" s="24"/>
      <c r="T128" s="24"/>
      <c r="U128" s="24"/>
      <c r="V128" s="24"/>
    </row>
    <row r="129" spans="1:22" ht="21" x14ac:dyDescent="0.35">
      <c r="A129" s="18">
        <v>45798</v>
      </c>
      <c r="B129" s="19">
        <v>24813.45</v>
      </c>
      <c r="C129" s="20">
        <f t="shared" si="3"/>
        <v>5.2346356247726386E-3</v>
      </c>
      <c r="D129" s="22">
        <f>'Daily Retun &amp; Risk'!D129</f>
        <v>8.8395492872296311E-3</v>
      </c>
      <c r="E129" s="23">
        <f t="shared" si="4"/>
        <v>1.789041095890411E-4</v>
      </c>
      <c r="F129" s="22">
        <f t="shared" si="5"/>
        <v>6.9612566816443788E-3</v>
      </c>
      <c r="N129" s="26">
        <v>96</v>
      </c>
      <c r="O129" s="26">
        <v>3.3809429910685741E-3</v>
      </c>
      <c r="P129" s="26">
        <v>-7.1367270458465876E-3</v>
      </c>
      <c r="Q129" s="24"/>
      <c r="R129" s="24"/>
      <c r="S129" s="24"/>
      <c r="T129" s="24"/>
      <c r="U129" s="24"/>
      <c r="V129" s="24"/>
    </row>
    <row r="130" spans="1:22" ht="21" x14ac:dyDescent="0.35">
      <c r="A130" s="18">
        <v>45797</v>
      </c>
      <c r="B130" s="19">
        <v>24683.9</v>
      </c>
      <c r="C130" s="20">
        <f t="shared" si="3"/>
        <v>-1.0540231594245037E-2</v>
      </c>
      <c r="D130" s="22">
        <f>'Daily Retun &amp; Risk'!D130</f>
        <v>-2.0835769499492486E-2</v>
      </c>
      <c r="E130" s="23">
        <f t="shared" si="4"/>
        <v>1.789041095890411E-4</v>
      </c>
      <c r="F130" s="22">
        <f t="shared" si="5"/>
        <v>-1.4201004592597877E-2</v>
      </c>
      <c r="N130" s="26">
        <v>97</v>
      </c>
      <c r="O130" s="26">
        <v>-2.0945570408372107E-3</v>
      </c>
      <c r="P130" s="26">
        <v>4.9969503963527111E-3</v>
      </c>
      <c r="Q130" s="24"/>
      <c r="R130" s="24"/>
      <c r="S130" s="24"/>
      <c r="T130" s="24"/>
      <c r="U130" s="24"/>
      <c r="V130" s="24"/>
    </row>
    <row r="131" spans="1:22" ht="21" x14ac:dyDescent="0.35">
      <c r="A131" s="18">
        <v>45796</v>
      </c>
      <c r="B131" s="19">
        <v>24945.45</v>
      </c>
      <c r="C131" s="20">
        <f t="shared" ref="C131:C194" si="6">LN(B131/B132)</f>
        <v>-2.976070564100508E-3</v>
      </c>
      <c r="D131" s="22">
        <f>'Daily Retun &amp; Risk'!D131</f>
        <v>-2.4267206493654284E-3</v>
      </c>
      <c r="E131" s="23">
        <f t="shared" ref="E131:E194" si="7">6.53%/365</f>
        <v>1.789041095890411E-4</v>
      </c>
      <c r="F131" s="22">
        <f t="shared" ref="F131:F194" si="8">E131+((C131-E131)*$O$27)</f>
        <v>-4.0535497951730854E-3</v>
      </c>
      <c r="N131" s="26">
        <v>98</v>
      </c>
      <c r="O131" s="26">
        <v>-4.2080921370049587E-3</v>
      </c>
      <c r="P131" s="26">
        <v>7.7030785459948061E-4</v>
      </c>
      <c r="Q131" s="24"/>
      <c r="R131" s="24"/>
      <c r="S131" s="24"/>
      <c r="T131" s="24"/>
      <c r="U131" s="24"/>
      <c r="V131" s="24"/>
    </row>
    <row r="132" spans="1:22" ht="21" x14ac:dyDescent="0.35">
      <c r="A132" s="18">
        <v>45793</v>
      </c>
      <c r="B132" s="19">
        <v>25019.8</v>
      </c>
      <c r="C132" s="20">
        <f t="shared" si="6"/>
        <v>-1.6892334379733957E-3</v>
      </c>
      <c r="D132" s="22">
        <f>'Daily Retun &amp; Risk'!D132</f>
        <v>-2.7707465296743683E-3</v>
      </c>
      <c r="E132" s="23">
        <f t="shared" si="7"/>
        <v>1.789041095890411E-4</v>
      </c>
      <c r="F132" s="22">
        <f t="shared" si="8"/>
        <v>-2.3272352023208246E-3</v>
      </c>
      <c r="N132" s="26">
        <v>99</v>
      </c>
      <c r="O132" s="26">
        <v>1.7435049622914771E-3</v>
      </c>
      <c r="P132" s="26">
        <v>-3.9764560575665953E-3</v>
      </c>
      <c r="Q132" s="24"/>
      <c r="R132" s="24"/>
      <c r="S132" s="24"/>
      <c r="T132" s="24"/>
      <c r="U132" s="24"/>
      <c r="V132" s="24"/>
    </row>
    <row r="133" spans="1:22" ht="21" x14ac:dyDescent="0.35">
      <c r="A133" s="18">
        <v>45792</v>
      </c>
      <c r="B133" s="19">
        <v>25062.1</v>
      </c>
      <c r="C133" s="20">
        <f t="shared" si="6"/>
        <v>1.5894480888894447E-2</v>
      </c>
      <c r="D133" s="22">
        <f>'Daily Retun &amp; Risk'!D133</f>
        <v>1.360870171888897E-2</v>
      </c>
      <c r="E133" s="23">
        <f t="shared" si="7"/>
        <v>1.789041095890411E-4</v>
      </c>
      <c r="F133" s="22">
        <f t="shared" si="8"/>
        <v>2.1261626218218345E-2</v>
      </c>
      <c r="N133" s="26">
        <v>100</v>
      </c>
      <c r="O133" s="26">
        <v>-5.8903180030968503E-3</v>
      </c>
      <c r="P133" s="26">
        <v>-4.0423029900863924E-4</v>
      </c>
      <c r="Q133" s="24"/>
      <c r="R133" s="24"/>
      <c r="S133" s="24"/>
      <c r="T133" s="24"/>
      <c r="U133" s="24"/>
      <c r="V133" s="24"/>
    </row>
    <row r="134" spans="1:22" ht="21" x14ac:dyDescent="0.35">
      <c r="A134" s="18">
        <v>45791</v>
      </c>
      <c r="B134" s="19">
        <v>24666.9</v>
      </c>
      <c r="C134" s="20">
        <f t="shared" si="6"/>
        <v>3.5962898121936287E-3</v>
      </c>
      <c r="D134" s="22">
        <f>'Daily Retun &amp; Risk'!D134</f>
        <v>1.5595871375941124E-2</v>
      </c>
      <c r="E134" s="23">
        <f t="shared" si="7"/>
        <v>1.789041095890411E-4</v>
      </c>
      <c r="F134" s="22">
        <f t="shared" si="8"/>
        <v>4.763387015802794E-3</v>
      </c>
      <c r="N134" s="26">
        <v>101</v>
      </c>
      <c r="O134" s="26">
        <v>5.0975381440441876E-3</v>
      </c>
      <c r="P134" s="26">
        <v>-8.9921700395311846E-3</v>
      </c>
      <c r="Q134" s="24"/>
      <c r="R134" s="24"/>
      <c r="S134" s="24"/>
      <c r="T134" s="24"/>
      <c r="U134" s="24"/>
      <c r="V134" s="24"/>
    </row>
    <row r="135" spans="1:22" ht="21" x14ac:dyDescent="0.35">
      <c r="A135" s="18">
        <v>45790</v>
      </c>
      <c r="B135" s="19">
        <v>24578.35</v>
      </c>
      <c r="C135" s="20">
        <f t="shared" si="6"/>
        <v>-1.3993305528556882E-2</v>
      </c>
      <c r="D135" s="22">
        <f>'Daily Retun &amp; Risk'!D135</f>
        <v>-1.6530375592825632E-2</v>
      </c>
      <c r="E135" s="23">
        <f t="shared" si="7"/>
        <v>1.789041095890411E-4</v>
      </c>
      <c r="F135" s="22">
        <f t="shared" si="8"/>
        <v>-1.8833363888090784E-2</v>
      </c>
      <c r="N135" s="26">
        <v>102</v>
      </c>
      <c r="O135" s="26">
        <v>1.6514275946939699E-2</v>
      </c>
      <c r="P135" s="26">
        <v>-1.6420982211546229E-2</v>
      </c>
      <c r="Q135" s="24"/>
      <c r="R135" s="24"/>
      <c r="S135" s="24"/>
      <c r="T135" s="24"/>
      <c r="U135" s="24"/>
      <c r="V135" s="24"/>
    </row>
    <row r="136" spans="1:22" ht="21" x14ac:dyDescent="0.35">
      <c r="A136" s="18">
        <v>45789</v>
      </c>
      <c r="B136" s="19">
        <v>24924.7</v>
      </c>
      <c r="C136" s="20">
        <f t="shared" si="6"/>
        <v>3.7472171529076455E-2</v>
      </c>
      <c r="D136" s="22">
        <f>'Daily Retun &amp; Risk'!D136</f>
        <v>4.0289342039246737E-2</v>
      </c>
      <c r="E136" s="23">
        <f t="shared" si="7"/>
        <v>1.789041095890411E-4</v>
      </c>
      <c r="F136" s="22">
        <f t="shared" si="8"/>
        <v>5.0208476970267875E-2</v>
      </c>
      <c r="N136" s="26">
        <v>103</v>
      </c>
      <c r="O136" s="26">
        <v>1.1134785852851046E-2</v>
      </c>
      <c r="P136" s="26">
        <v>9.4138823745367143E-3</v>
      </c>
      <c r="Q136" s="24"/>
      <c r="R136" s="24"/>
      <c r="S136" s="24"/>
      <c r="T136" s="24"/>
      <c r="U136" s="24"/>
      <c r="V136" s="24"/>
    </row>
    <row r="137" spans="1:22" ht="21" x14ac:dyDescent="0.35">
      <c r="A137" s="18">
        <v>45786</v>
      </c>
      <c r="B137" s="19">
        <v>24008</v>
      </c>
      <c r="C137" s="20">
        <f t="shared" si="6"/>
        <v>-1.1010471243807775E-2</v>
      </c>
      <c r="D137" s="22">
        <f>'Daily Retun &amp; Risk'!D137</f>
        <v>-1.695744849818661E-2</v>
      </c>
      <c r="E137" s="23">
        <f t="shared" si="7"/>
        <v>1.789041095890411E-4</v>
      </c>
      <c r="F137" s="22">
        <f t="shared" si="8"/>
        <v>-1.4831839336712727E-2</v>
      </c>
      <c r="N137" s="26">
        <v>104</v>
      </c>
      <c r="O137" s="26">
        <v>4.3294019402354495E-3</v>
      </c>
      <c r="P137" s="26">
        <v>4.7562234027351963E-4</v>
      </c>
      <c r="Q137" s="24"/>
      <c r="R137" s="24"/>
      <c r="S137" s="24"/>
      <c r="T137" s="24"/>
      <c r="U137" s="24"/>
      <c r="V137" s="24"/>
    </row>
    <row r="138" spans="1:22" ht="21" x14ac:dyDescent="0.35">
      <c r="A138" s="18">
        <v>45785</v>
      </c>
      <c r="B138" s="19">
        <v>24273.8</v>
      </c>
      <c r="C138" s="20">
        <f t="shared" si="6"/>
        <v>-5.7755427734603581E-3</v>
      </c>
      <c r="D138" s="22">
        <f>'Daily Retun &amp; Risk'!D138</f>
        <v>-2.8215751206646485E-2</v>
      </c>
      <c r="E138" s="23">
        <f t="shared" si="7"/>
        <v>1.789041095890411E-4</v>
      </c>
      <c r="F138" s="22">
        <f t="shared" si="8"/>
        <v>-7.8090909038191041E-3</v>
      </c>
      <c r="N138" s="26">
        <v>105</v>
      </c>
      <c r="O138" s="26">
        <v>-7.0837140295615993E-3</v>
      </c>
      <c r="P138" s="26">
        <v>-8.5510001178405026E-3</v>
      </c>
      <c r="Q138" s="24"/>
      <c r="R138" s="24"/>
      <c r="S138" s="24"/>
      <c r="T138" s="24"/>
      <c r="U138" s="24"/>
      <c r="V138" s="24"/>
    </row>
    <row r="139" spans="1:22" ht="21" x14ac:dyDescent="0.35">
      <c r="A139" s="18">
        <v>45784</v>
      </c>
      <c r="B139" s="19">
        <v>24414.400000000001</v>
      </c>
      <c r="C139" s="20">
        <f t="shared" si="6"/>
        <v>1.4264051276974533E-3</v>
      </c>
      <c r="D139" s="22">
        <f>'Daily Retun &amp; Risk'!D139</f>
        <v>1.6644696922682098E-2</v>
      </c>
      <c r="E139" s="23">
        <f t="shared" si="7"/>
        <v>1.789041095890411E-4</v>
      </c>
      <c r="F139" s="22">
        <f t="shared" si="8"/>
        <v>1.8524486230583213E-3</v>
      </c>
      <c r="N139" s="26">
        <v>106</v>
      </c>
      <c r="O139" s="26">
        <v>1.7601368952025964E-2</v>
      </c>
      <c r="P139" s="26">
        <v>1.0939235587097737E-2</v>
      </c>
      <c r="Q139" s="24"/>
      <c r="R139" s="24"/>
      <c r="S139" s="24"/>
      <c r="T139" s="24"/>
      <c r="U139" s="24"/>
      <c r="V139" s="24"/>
    </row>
    <row r="140" spans="1:22" ht="21" x14ac:dyDescent="0.35">
      <c r="A140" s="18">
        <v>45783</v>
      </c>
      <c r="B140" s="19">
        <v>24379.599999999999</v>
      </c>
      <c r="C140" s="20">
        <f t="shared" si="6"/>
        <v>-3.3394276617622325E-3</v>
      </c>
      <c r="D140" s="22">
        <f>'Daily Retun &amp; Risk'!D140</f>
        <v>1.5402856283528006E-2</v>
      </c>
      <c r="E140" s="23">
        <f t="shared" si="7"/>
        <v>1.789041095890411E-4</v>
      </c>
      <c r="F140" s="22">
        <f t="shared" si="8"/>
        <v>-4.5409997197783224E-3</v>
      </c>
      <c r="N140" s="26">
        <v>107</v>
      </c>
      <c r="O140" s="26">
        <v>-5.7390379787779309E-4</v>
      </c>
      <c r="P140" s="26">
        <v>1.8077895416713709E-2</v>
      </c>
      <c r="Q140" s="24"/>
      <c r="R140" s="24"/>
      <c r="S140" s="24"/>
      <c r="T140" s="24"/>
      <c r="U140" s="24"/>
      <c r="V140" s="24"/>
    </row>
    <row r="141" spans="1:22" ht="21" x14ac:dyDescent="0.35">
      <c r="A141" s="18">
        <v>45782</v>
      </c>
      <c r="B141" s="19">
        <v>24461.15</v>
      </c>
      <c r="C141" s="20">
        <f t="shared" si="6"/>
        <v>4.6898279589179014E-3</v>
      </c>
      <c r="D141" s="22">
        <f>'Daily Retun &amp; Risk'!D141</f>
        <v>3.2048743857551271E-2</v>
      </c>
      <c r="E141" s="23">
        <f t="shared" si="7"/>
        <v>1.789041095890411E-4</v>
      </c>
      <c r="F141" s="22">
        <f t="shared" si="8"/>
        <v>6.230387634763997E-3</v>
      </c>
      <c r="N141" s="26">
        <v>108</v>
      </c>
      <c r="O141" s="26">
        <v>-1.7908725648590701E-3</v>
      </c>
      <c r="P141" s="26">
        <v>1.3000751371354577E-2</v>
      </c>
      <c r="Q141" s="24"/>
      <c r="R141" s="24"/>
      <c r="S141" s="24"/>
      <c r="T141" s="24"/>
      <c r="U141" s="24"/>
      <c r="V141" s="24"/>
    </row>
    <row r="142" spans="1:22" ht="21" x14ac:dyDescent="0.35">
      <c r="A142" s="18">
        <v>45779</v>
      </c>
      <c r="B142" s="19">
        <v>24346.7</v>
      </c>
      <c r="C142" s="20">
        <f t="shared" si="6"/>
        <v>5.1354844609369319E-4</v>
      </c>
      <c r="D142" s="22">
        <f>'Daily Retun &amp; Risk'!D142</f>
        <v>-8.8812986196462097E-4</v>
      </c>
      <c r="E142" s="23">
        <f t="shared" si="7"/>
        <v>1.789041095890411E-4</v>
      </c>
      <c r="F142" s="22">
        <f t="shared" si="8"/>
        <v>6.2783536110025905E-4</v>
      </c>
      <c r="N142" s="26">
        <v>109</v>
      </c>
      <c r="O142" s="26">
        <v>-4.5729463326978619E-3</v>
      </c>
      <c r="P142" s="26">
        <v>-8.6581483535557412E-4</v>
      </c>
      <c r="Q142" s="24"/>
      <c r="R142" s="24"/>
      <c r="S142" s="24"/>
      <c r="T142" s="24"/>
      <c r="U142" s="24"/>
      <c r="V142" s="24"/>
    </row>
    <row r="143" spans="1:22" ht="21" x14ac:dyDescent="0.35">
      <c r="A143" s="18">
        <v>45777</v>
      </c>
      <c r="B143" s="19">
        <v>24334.2</v>
      </c>
      <c r="C143" s="20">
        <f t="shared" si="6"/>
        <v>-7.1912661076828911E-5</v>
      </c>
      <c r="D143" s="22">
        <f>'Daily Retun &amp; Risk'!D143</f>
        <v>6.5771681332472895E-3</v>
      </c>
      <c r="E143" s="23">
        <f t="shared" si="7"/>
        <v>1.789041095890411E-4</v>
      </c>
      <c r="F143" s="22">
        <f t="shared" si="8"/>
        <v>-1.5757099090460153E-4</v>
      </c>
      <c r="N143" s="26">
        <v>110</v>
      </c>
      <c r="O143" s="26">
        <v>1.2754768902271639E-2</v>
      </c>
      <c r="P143" s="26">
        <v>-6.9168857971698668E-3</v>
      </c>
      <c r="Q143" s="24"/>
      <c r="R143" s="24"/>
      <c r="S143" s="24"/>
      <c r="T143" s="24"/>
      <c r="U143" s="24"/>
      <c r="V143" s="24"/>
    </row>
    <row r="144" spans="1:22" ht="21" x14ac:dyDescent="0.35">
      <c r="A144" s="18">
        <v>45776</v>
      </c>
      <c r="B144" s="19">
        <v>24335.95</v>
      </c>
      <c r="C144" s="20">
        <f t="shared" si="6"/>
        <v>3.0617833174725629E-4</v>
      </c>
      <c r="D144" s="22">
        <f>'Daily Retun &amp; Risk'!D144</f>
        <v>-7.1915655311454553E-3</v>
      </c>
      <c r="E144" s="23">
        <f t="shared" si="7"/>
        <v>1.789041095890411E-4</v>
      </c>
      <c r="F144" s="22">
        <f t="shared" si="8"/>
        <v>3.4964471268844556E-4</v>
      </c>
      <c r="N144" s="26">
        <v>111</v>
      </c>
      <c r="O144" s="26">
        <v>-8.7300827762746384E-3</v>
      </c>
      <c r="P144" s="26">
        <v>4.3484784749086873E-3</v>
      </c>
      <c r="Q144" s="24"/>
      <c r="R144" s="24"/>
      <c r="S144" s="24"/>
      <c r="T144" s="24"/>
      <c r="U144" s="24"/>
      <c r="V144" s="24"/>
    </row>
    <row r="145" spans="1:22" ht="21" x14ac:dyDescent="0.35">
      <c r="A145" s="18">
        <v>45775</v>
      </c>
      <c r="B145" s="19">
        <v>24328.5</v>
      </c>
      <c r="C145" s="20">
        <f t="shared" si="6"/>
        <v>1.1956431581801425E-2</v>
      </c>
      <c r="D145" s="22">
        <f>'Daily Retun &amp; Risk'!D145</f>
        <v>2.2918101159322499E-2</v>
      </c>
      <c r="E145" s="23">
        <f t="shared" si="7"/>
        <v>1.789041095890411E-4</v>
      </c>
      <c r="F145" s="22">
        <f t="shared" si="8"/>
        <v>1.5978663947253453E-2</v>
      </c>
      <c r="N145" s="26">
        <v>112</v>
      </c>
      <c r="O145" s="26">
        <v>-1.3136022585699833E-2</v>
      </c>
      <c r="P145" s="26">
        <v>-7.028925672373381E-3</v>
      </c>
      <c r="Q145" s="24"/>
      <c r="R145" s="24"/>
      <c r="S145" s="24"/>
      <c r="T145" s="24"/>
      <c r="U145" s="24"/>
      <c r="V145" s="24"/>
    </row>
    <row r="146" spans="1:22" ht="21" x14ac:dyDescent="0.35">
      <c r="A146" s="18">
        <v>45772</v>
      </c>
      <c r="B146" s="19">
        <v>24039.35</v>
      </c>
      <c r="C146" s="20">
        <f t="shared" si="6"/>
        <v>-8.588454617289994E-3</v>
      </c>
      <c r="D146" s="22">
        <f>'Daily Retun &amp; Risk'!D146</f>
        <v>-1.2904300060199667E-2</v>
      </c>
      <c r="E146" s="23">
        <f t="shared" si="7"/>
        <v>1.789041095890411E-4</v>
      </c>
      <c r="F146" s="22">
        <f t="shared" si="8"/>
        <v>-1.1582661518015382E-2</v>
      </c>
      <c r="N146" s="26">
        <v>113</v>
      </c>
      <c r="O146" s="26">
        <v>2.4266937376427712E-3</v>
      </c>
      <c r="P146" s="26">
        <v>1.8672525496496164E-3</v>
      </c>
      <c r="Q146" s="24"/>
      <c r="R146" s="24"/>
      <c r="S146" s="24"/>
      <c r="T146" s="24"/>
      <c r="U146" s="24"/>
      <c r="V146" s="24"/>
    </row>
    <row r="147" spans="1:22" ht="21" x14ac:dyDescent="0.35">
      <c r="A147" s="18">
        <v>45771</v>
      </c>
      <c r="B147" s="19">
        <v>24246.7</v>
      </c>
      <c r="C147" s="20">
        <f t="shared" si="6"/>
        <v>-3.386473618159028E-3</v>
      </c>
      <c r="D147" s="22">
        <f>'Daily Retun &amp; Risk'!D147</f>
        <v>-5.6365285329933587E-3</v>
      </c>
      <c r="E147" s="23">
        <f t="shared" si="7"/>
        <v>1.789041095890411E-4</v>
      </c>
      <c r="F147" s="22">
        <f t="shared" si="8"/>
        <v>-4.6041126960932877E-3</v>
      </c>
      <c r="N147" s="26">
        <v>114</v>
      </c>
      <c r="O147" s="26">
        <v>4.9905538351053787E-4</v>
      </c>
      <c r="P147" s="26">
        <v>-6.9654705461850361E-3</v>
      </c>
      <c r="Q147" s="24"/>
      <c r="R147" s="24"/>
      <c r="S147" s="24"/>
      <c r="T147" s="24"/>
      <c r="U147" s="24"/>
      <c r="V147" s="24"/>
    </row>
    <row r="148" spans="1:22" ht="21" x14ac:dyDescent="0.35">
      <c r="A148" s="18">
        <v>45770</v>
      </c>
      <c r="B148" s="19">
        <v>24328.95</v>
      </c>
      <c r="C148" s="20">
        <f t="shared" si="6"/>
        <v>6.6685884351257562E-3</v>
      </c>
      <c r="D148" s="22">
        <f>'Daily Retun &amp; Risk'!D148</f>
        <v>3.5121920633945099E-2</v>
      </c>
      <c r="E148" s="23">
        <f t="shared" si="7"/>
        <v>1.789041095890411E-4</v>
      </c>
      <c r="F148" s="22">
        <f t="shared" si="8"/>
        <v>8.8849295472418037E-3</v>
      </c>
      <c r="N148" s="26">
        <v>115</v>
      </c>
      <c r="O148" s="26">
        <v>5.8056751226775631E-3</v>
      </c>
      <c r="P148" s="26">
        <v>-1.1973052878685195E-2</v>
      </c>
      <c r="Q148" s="24"/>
      <c r="R148" s="24"/>
      <c r="S148" s="24"/>
      <c r="T148" s="24"/>
      <c r="U148" s="24"/>
      <c r="V148" s="24"/>
    </row>
    <row r="149" spans="1:22" ht="21" x14ac:dyDescent="0.35">
      <c r="A149" s="18">
        <v>45769</v>
      </c>
      <c r="B149" s="19">
        <v>24167.25</v>
      </c>
      <c r="C149" s="20">
        <f t="shared" si="6"/>
        <v>1.726965939596701E-3</v>
      </c>
      <c r="D149" s="22">
        <f>'Daily Retun &amp; Risk'!D149</f>
        <v>1.9029081116289544E-2</v>
      </c>
      <c r="E149" s="23">
        <f t="shared" si="7"/>
        <v>1.789041095890411E-4</v>
      </c>
      <c r="F149" s="22">
        <f t="shared" si="8"/>
        <v>2.2556562280353185E-3</v>
      </c>
      <c r="N149" s="26">
        <v>116</v>
      </c>
      <c r="O149" s="26">
        <v>1.4040520003076793E-2</v>
      </c>
      <c r="P149" s="26">
        <v>7.0724777665071674E-3</v>
      </c>
      <c r="Q149" s="24"/>
      <c r="R149" s="24"/>
      <c r="S149" s="24"/>
      <c r="T149" s="24"/>
      <c r="U149" s="24"/>
      <c r="V149" s="24"/>
    </row>
    <row r="150" spans="1:22" ht="21" x14ac:dyDescent="0.35">
      <c r="A150" s="18">
        <v>45768</v>
      </c>
      <c r="B150" s="19">
        <v>24125.55</v>
      </c>
      <c r="C150" s="20">
        <f t="shared" si="6"/>
        <v>1.1418047561345738E-2</v>
      </c>
      <c r="D150" s="22">
        <f>'Daily Retun &amp; Risk'!D150</f>
        <v>3.1086017044674959E-2</v>
      </c>
      <c r="E150" s="23">
        <f t="shared" si="7"/>
        <v>1.789041095890411E-4</v>
      </c>
      <c r="F150" s="22">
        <f t="shared" si="8"/>
        <v>1.5256412333431647E-2</v>
      </c>
      <c r="N150" s="26">
        <v>117</v>
      </c>
      <c r="O150" s="26">
        <v>7.5457537379802885E-3</v>
      </c>
      <c r="P150" s="26">
        <v>-1.1417784826657618E-2</v>
      </c>
      <c r="Q150" s="24"/>
      <c r="R150" s="24"/>
      <c r="S150" s="24"/>
      <c r="T150" s="24"/>
      <c r="U150" s="24"/>
      <c r="V150" s="24"/>
    </row>
    <row r="151" spans="1:22" ht="21" x14ac:dyDescent="0.35">
      <c r="A151" s="18">
        <v>45764</v>
      </c>
      <c r="B151" s="19">
        <v>23851.65</v>
      </c>
      <c r="C151" s="20">
        <f t="shared" si="6"/>
        <v>1.7528893682587383E-2</v>
      </c>
      <c r="D151" s="22">
        <f>'Daily Retun &amp; Risk'!D151</f>
        <v>1.6861521047158826E-2</v>
      </c>
      <c r="E151" s="23">
        <f t="shared" si="7"/>
        <v>1.789041095890411E-4</v>
      </c>
      <c r="F151" s="22">
        <f t="shared" si="8"/>
        <v>2.345421967018706E-2</v>
      </c>
      <c r="N151" s="26">
        <v>118</v>
      </c>
      <c r="O151" s="26">
        <v>4.6833950635243359E-3</v>
      </c>
      <c r="P151" s="26">
        <v>-2.4210619292313156E-3</v>
      </c>
      <c r="Q151" s="24"/>
      <c r="R151" s="24"/>
      <c r="S151" s="24"/>
      <c r="T151" s="24"/>
      <c r="U151" s="24"/>
      <c r="V151" s="24"/>
    </row>
    <row r="152" spans="1:22" ht="21" x14ac:dyDescent="0.35">
      <c r="A152" s="18">
        <v>45763</v>
      </c>
      <c r="B152" s="19">
        <v>23437.200000000001</v>
      </c>
      <c r="C152" s="20">
        <f t="shared" si="6"/>
        <v>4.6465712828317922E-3</v>
      </c>
      <c r="D152" s="22">
        <f>'Daily Retun &amp; Risk'!D152</f>
        <v>-4.3176978791742964E-3</v>
      </c>
      <c r="E152" s="23">
        <f t="shared" si="7"/>
        <v>1.789041095890411E-4</v>
      </c>
      <c r="F152" s="22">
        <f t="shared" si="8"/>
        <v>6.1723580444999395E-3</v>
      </c>
      <c r="N152" s="26">
        <v>119</v>
      </c>
      <c r="O152" s="26">
        <v>-9.0399400741639855E-3</v>
      </c>
      <c r="P152" s="26">
        <v>1.5824762887109354E-2</v>
      </c>
      <c r="Q152" s="24"/>
      <c r="R152" s="24"/>
      <c r="S152" s="24"/>
      <c r="T152" s="24"/>
      <c r="U152" s="24"/>
      <c r="V152" s="24"/>
    </row>
    <row r="153" spans="1:22" ht="21" x14ac:dyDescent="0.35">
      <c r="A153" s="18">
        <v>45762</v>
      </c>
      <c r="B153" s="19">
        <v>23328.55</v>
      </c>
      <c r="C153" s="20">
        <f t="shared" si="6"/>
        <v>2.16659867627985E-2</v>
      </c>
      <c r="D153" s="22">
        <f>'Daily Retun &amp; Risk'!D153</f>
        <v>2.51240170453477E-2</v>
      </c>
      <c r="E153" s="23">
        <f t="shared" si="7"/>
        <v>1.789041095890411E-4</v>
      </c>
      <c r="F153" s="22">
        <f t="shared" si="8"/>
        <v>2.9004202656651729E-2</v>
      </c>
      <c r="N153" s="26">
        <v>120</v>
      </c>
      <c r="O153" s="26">
        <v>-1.406590729736427E-3</v>
      </c>
      <c r="P153" s="26">
        <v>1.7766260572927288E-2</v>
      </c>
      <c r="Q153" s="24"/>
      <c r="R153" s="24"/>
      <c r="S153" s="24"/>
      <c r="T153" s="24"/>
      <c r="U153" s="24"/>
      <c r="V153" s="24"/>
    </row>
    <row r="154" spans="1:22" ht="21" x14ac:dyDescent="0.35">
      <c r="A154" s="18">
        <v>45758</v>
      </c>
      <c r="B154" s="19">
        <v>22828.55</v>
      </c>
      <c r="C154" s="20">
        <f t="shared" si="6"/>
        <v>1.8988933890639957E-2</v>
      </c>
      <c r="D154" s="22">
        <f>'Daily Retun &amp; Risk'!D154</f>
        <v>2.2436744419219088E-2</v>
      </c>
      <c r="E154" s="23">
        <f t="shared" si="7"/>
        <v>1.789041095890411E-4</v>
      </c>
      <c r="F154" s="22">
        <f t="shared" si="8"/>
        <v>2.5412889237716493E-2</v>
      </c>
      <c r="N154" s="26">
        <v>121</v>
      </c>
      <c r="O154" s="26">
        <v>-4.0428266013922539E-3</v>
      </c>
      <c r="P154" s="26">
        <v>-6.7160729962402162E-3</v>
      </c>
      <c r="Q154" s="24"/>
      <c r="R154" s="24"/>
      <c r="S154" s="24"/>
      <c r="T154" s="24"/>
      <c r="U154" s="24"/>
      <c r="V154" s="24"/>
    </row>
    <row r="155" spans="1:22" ht="21" x14ac:dyDescent="0.35">
      <c r="A155" s="18">
        <v>45756</v>
      </c>
      <c r="B155" s="19">
        <v>22399.15</v>
      </c>
      <c r="C155" s="20">
        <f t="shared" si="6"/>
        <v>-6.0843628224417504E-3</v>
      </c>
      <c r="D155" s="22">
        <f>'Daily Retun &amp; Risk'!D155</f>
        <v>-2.1796205565072208E-4</v>
      </c>
      <c r="E155" s="23">
        <f t="shared" si="7"/>
        <v>1.789041095890411E-4</v>
      </c>
      <c r="F155" s="22">
        <f t="shared" si="8"/>
        <v>-8.2233784203181153E-3</v>
      </c>
      <c r="N155" s="26">
        <v>122</v>
      </c>
      <c r="O155" s="26">
        <v>4.8338667617451704E-3</v>
      </c>
      <c r="P155" s="26">
        <v>-1.1047554281953167E-3</v>
      </c>
      <c r="Q155" s="24"/>
      <c r="R155" s="24"/>
      <c r="S155" s="24"/>
      <c r="T155" s="24"/>
      <c r="U155" s="24"/>
      <c r="V155" s="24"/>
    </row>
    <row r="156" spans="1:22" ht="21" x14ac:dyDescent="0.35">
      <c r="A156" s="18">
        <v>45755</v>
      </c>
      <c r="B156" s="19">
        <v>22535.85</v>
      </c>
      <c r="C156" s="20">
        <f t="shared" si="6"/>
        <v>1.6746313096183522E-2</v>
      </c>
      <c r="D156" s="22">
        <f>'Daily Retun &amp; Risk'!D156</f>
        <v>1.2921673738980509E-2</v>
      </c>
      <c r="E156" s="23">
        <f t="shared" si="7"/>
        <v>1.789041095890411E-4</v>
      </c>
      <c r="F156" s="22">
        <f t="shared" si="8"/>
        <v>2.2404374076706399E-2</v>
      </c>
      <c r="N156" s="26">
        <v>123</v>
      </c>
      <c r="O156" s="26">
        <v>-3.5481683581387972E-3</v>
      </c>
      <c r="P156" s="26">
        <v>-1.0364869107726627E-2</v>
      </c>
      <c r="Q156" s="24"/>
      <c r="R156" s="24"/>
      <c r="S156" s="24"/>
      <c r="T156" s="24"/>
      <c r="U156" s="24"/>
      <c r="V156" s="24"/>
    </row>
    <row r="157" spans="1:22" ht="21" x14ac:dyDescent="0.35">
      <c r="A157" s="18">
        <v>45754</v>
      </c>
      <c r="B157" s="19">
        <v>22161.599999999999</v>
      </c>
      <c r="C157" s="20">
        <f t="shared" si="6"/>
        <v>-3.2970153387305259E-2</v>
      </c>
      <c r="D157" s="22">
        <f>'Daily Retun &amp; Risk'!D157</f>
        <v>-4.1399048263661926E-2</v>
      </c>
      <c r="E157" s="23">
        <f t="shared" si="7"/>
        <v>1.789041095890411E-4</v>
      </c>
      <c r="F157" s="22">
        <f t="shared" si="8"/>
        <v>-4.4291138395646072E-2</v>
      </c>
      <c r="N157" s="26">
        <v>124</v>
      </c>
      <c r="O157" s="26">
        <v>-8.9775629775826066E-3</v>
      </c>
      <c r="P157" s="26">
        <v>-4.2252431844215892E-3</v>
      </c>
      <c r="Q157" s="24"/>
      <c r="R157" s="24"/>
      <c r="S157" s="24"/>
      <c r="T157" s="24"/>
      <c r="U157" s="24"/>
      <c r="V157" s="24"/>
    </row>
    <row r="158" spans="1:22" ht="21" x14ac:dyDescent="0.35">
      <c r="A158" s="18">
        <v>45751</v>
      </c>
      <c r="B158" s="19">
        <v>22904.45</v>
      </c>
      <c r="C158" s="20">
        <f t="shared" si="6"/>
        <v>-1.4978218273382259E-2</v>
      </c>
      <c r="D158" s="22">
        <f>'Daily Retun &amp; Risk'!D158</f>
        <v>-5.7219818177726709E-3</v>
      </c>
      <c r="E158" s="23">
        <f t="shared" si="7"/>
        <v>1.789041095890411E-4</v>
      </c>
      <c r="F158" s="22">
        <f t="shared" si="8"/>
        <v>-2.0154641623677562E-2</v>
      </c>
      <c r="N158" s="26">
        <v>125</v>
      </c>
      <c r="O158" s="26">
        <v>8.4079617562365129E-3</v>
      </c>
      <c r="P158" s="26">
        <v>1.3749881531445695E-2</v>
      </c>
      <c r="Q158" s="24"/>
      <c r="R158" s="24"/>
      <c r="S158" s="24"/>
      <c r="T158" s="24"/>
      <c r="U158" s="24"/>
      <c r="V158" s="24"/>
    </row>
    <row r="159" spans="1:22" ht="21" x14ac:dyDescent="0.35">
      <c r="A159" s="18">
        <v>45750</v>
      </c>
      <c r="B159" s="19">
        <v>23250.1</v>
      </c>
      <c r="C159" s="20">
        <f t="shared" si="6"/>
        <v>-3.5313765366867989E-3</v>
      </c>
      <c r="D159" s="22">
        <f>'Daily Retun &amp; Risk'!D159</f>
        <v>-9.9448333421663353E-3</v>
      </c>
      <c r="E159" s="23">
        <f t="shared" si="7"/>
        <v>1.789041095890411E-4</v>
      </c>
      <c r="F159" s="22">
        <f t="shared" si="8"/>
        <v>-4.7985025048130781E-3</v>
      </c>
      <c r="N159" s="26">
        <v>126</v>
      </c>
      <c r="O159" s="26">
        <v>1.3648616408042826E-2</v>
      </c>
      <c r="P159" s="26">
        <v>-1.1522016503752862E-2</v>
      </c>
      <c r="Q159" s="24"/>
      <c r="R159" s="24"/>
      <c r="S159" s="24"/>
      <c r="T159" s="24"/>
      <c r="U159" s="24"/>
      <c r="V159" s="24"/>
    </row>
    <row r="160" spans="1:22" ht="21" x14ac:dyDescent="0.35">
      <c r="A160" s="18">
        <v>45749</v>
      </c>
      <c r="B160" s="19">
        <v>23332.35</v>
      </c>
      <c r="C160" s="20">
        <f t="shared" si="6"/>
        <v>7.1680732227189349E-3</v>
      </c>
      <c r="D160" s="22">
        <f>'Daily Retun &amp; Risk'!D160</f>
        <v>-1.3269010246077574E-4</v>
      </c>
      <c r="E160" s="23">
        <f t="shared" si="7"/>
        <v>1.789041095890411E-4</v>
      </c>
      <c r="F160" s="22">
        <f t="shared" si="8"/>
        <v>9.5549971573712332E-3</v>
      </c>
      <c r="N160" s="26">
        <v>127</v>
      </c>
      <c r="O160" s="26">
        <v>-1.0618096781063199E-2</v>
      </c>
      <c r="P160" s="26">
        <v>-1.7069418939482717E-2</v>
      </c>
      <c r="Q160" s="24"/>
      <c r="R160" s="24"/>
      <c r="S160" s="24"/>
      <c r="T160" s="24"/>
      <c r="U160" s="24"/>
      <c r="V160" s="24"/>
    </row>
    <row r="161" spans="1:22" ht="21" x14ac:dyDescent="0.35">
      <c r="A161" s="18">
        <v>45748</v>
      </c>
      <c r="B161" s="19">
        <v>23165.7</v>
      </c>
      <c r="C161" s="20">
        <f t="shared" si="6"/>
        <v>-1.5150750180769317E-2</v>
      </c>
      <c r="D161" s="22">
        <f>'Daily Retun &amp; Risk'!D161</f>
        <v>-1.0521054116851711E-2</v>
      </c>
      <c r="E161" s="23">
        <f t="shared" si="7"/>
        <v>1.789041095890411E-4</v>
      </c>
      <c r="F161" s="22">
        <f t="shared" si="8"/>
        <v>-2.0386096205930182E-2</v>
      </c>
      <c r="N161" s="26">
        <v>128</v>
      </c>
      <c r="O161" s="26">
        <v>7.4653000259420317E-3</v>
      </c>
      <c r="P161" s="26">
        <v>1.3742492612875993E-3</v>
      </c>
      <c r="Q161" s="24"/>
      <c r="R161" s="24"/>
      <c r="S161" s="24"/>
      <c r="T161" s="24"/>
      <c r="U161" s="24"/>
      <c r="V161" s="24"/>
    </row>
    <row r="162" spans="1:22" ht="21" x14ac:dyDescent="0.35">
      <c r="A162" s="18">
        <v>45744</v>
      </c>
      <c r="B162" s="19">
        <v>23519.35</v>
      </c>
      <c r="C162" s="20">
        <f t="shared" si="6"/>
        <v>-3.0820655541120134E-3</v>
      </c>
      <c r="D162" s="22">
        <f>'Daily Retun &amp; Risk'!D162</f>
        <v>-2.4895706758150098E-2</v>
      </c>
      <c r="E162" s="23">
        <f t="shared" si="7"/>
        <v>1.789041095890411E-4</v>
      </c>
      <c r="F162" s="22">
        <f t="shared" si="8"/>
        <v>-4.195743934828345E-3</v>
      </c>
      <c r="N162" s="26">
        <v>129</v>
      </c>
      <c r="O162" s="26">
        <v>-1.3696961248300221E-2</v>
      </c>
      <c r="P162" s="26">
        <v>-7.1388082511922649E-3</v>
      </c>
      <c r="Q162" s="24"/>
      <c r="R162" s="24"/>
      <c r="S162" s="24"/>
      <c r="T162" s="24"/>
      <c r="U162" s="24"/>
      <c r="V162" s="24"/>
    </row>
    <row r="163" spans="1:22" ht="21" x14ac:dyDescent="0.35">
      <c r="A163" s="18">
        <v>45743</v>
      </c>
      <c r="B163" s="19">
        <v>23591.95</v>
      </c>
      <c r="C163" s="20">
        <f t="shared" si="6"/>
        <v>4.4648620864278519E-3</v>
      </c>
      <c r="D163" s="22">
        <f>'Daily Retun &amp; Risk'!D163</f>
        <v>-3.3788443633754736E-3</v>
      </c>
      <c r="E163" s="23">
        <f t="shared" si="7"/>
        <v>1.789041095890411E-4</v>
      </c>
      <c r="F163" s="22">
        <f t="shared" si="8"/>
        <v>5.928591967940074E-3</v>
      </c>
      <c r="N163" s="26">
        <v>130</v>
      </c>
      <c r="O163" s="26">
        <v>-3.5495064508754325E-3</v>
      </c>
      <c r="P163" s="26">
        <v>1.122785801510004E-3</v>
      </c>
      <c r="Q163" s="24"/>
      <c r="R163" s="24"/>
      <c r="S163" s="24"/>
      <c r="T163" s="24"/>
      <c r="U163" s="24"/>
      <c r="V163" s="24"/>
    </row>
    <row r="164" spans="1:22" ht="21" x14ac:dyDescent="0.35">
      <c r="A164" s="18">
        <v>45742</v>
      </c>
      <c r="B164" s="19">
        <v>23486.85</v>
      </c>
      <c r="C164" s="20">
        <f t="shared" si="6"/>
        <v>-7.710697617041672E-3</v>
      </c>
      <c r="D164" s="22">
        <f>'Daily Retun &amp; Risk'!D164</f>
        <v>2.2817515490024987E-3</v>
      </c>
      <c r="E164" s="23">
        <f t="shared" si="7"/>
        <v>1.789041095890411E-4</v>
      </c>
      <c r="F164" s="22">
        <f t="shared" si="8"/>
        <v>-1.0405135094708548E-2</v>
      </c>
      <c r="N164" s="26">
        <v>131</v>
      </c>
      <c r="O164" s="26">
        <v>-1.8231918580231706E-3</v>
      </c>
      <c r="P164" s="26">
        <v>-9.4755467165119774E-4</v>
      </c>
      <c r="Q164" s="24"/>
      <c r="R164" s="24"/>
      <c r="S164" s="24"/>
      <c r="T164" s="24"/>
      <c r="U164" s="24"/>
      <c r="V164" s="24"/>
    </row>
    <row r="165" spans="1:22" ht="21" x14ac:dyDescent="0.35">
      <c r="A165" s="18">
        <v>45741</v>
      </c>
      <c r="B165" s="19">
        <v>23668.65</v>
      </c>
      <c r="C165" s="20">
        <f t="shared" si="6"/>
        <v>4.3526951476421065E-4</v>
      </c>
      <c r="D165" s="22">
        <f>'Daily Retun &amp; Risk'!D165</f>
        <v>-1.4045633485882891E-2</v>
      </c>
      <c r="E165" s="23">
        <f t="shared" si="7"/>
        <v>1.789041095890411E-4</v>
      </c>
      <c r="F165" s="22">
        <f t="shared" si="8"/>
        <v>5.2282280067338701E-4</v>
      </c>
      <c r="N165" s="26">
        <v>132</v>
      </c>
      <c r="O165" s="26">
        <v>2.1765669562515997E-2</v>
      </c>
      <c r="P165" s="26">
        <v>-8.156967843627027E-3</v>
      </c>
      <c r="Q165" s="24"/>
      <c r="R165" s="24"/>
      <c r="S165" s="24"/>
      <c r="T165" s="24"/>
      <c r="U165" s="24"/>
      <c r="V165" s="24"/>
    </row>
    <row r="166" spans="1:22" ht="21" x14ac:dyDescent="0.35">
      <c r="A166" s="18">
        <v>45740</v>
      </c>
      <c r="B166" s="19">
        <v>23658.35</v>
      </c>
      <c r="C166" s="20">
        <f t="shared" si="6"/>
        <v>1.310200357491904E-2</v>
      </c>
      <c r="D166" s="22">
        <f>'Daily Retun &amp; Risk'!D166</f>
        <v>-9.7372800450976887E-3</v>
      </c>
      <c r="E166" s="23">
        <f t="shared" si="7"/>
        <v>1.789041095890411E-4</v>
      </c>
      <c r="F166" s="22">
        <f t="shared" si="8"/>
        <v>1.7515468884513587E-2</v>
      </c>
      <c r="N166" s="26">
        <v>133</v>
      </c>
      <c r="O166" s="26">
        <v>5.2674303601004478E-3</v>
      </c>
      <c r="P166" s="26">
        <v>1.0328441015840677E-2</v>
      </c>
      <c r="Q166" s="24"/>
      <c r="R166" s="24"/>
      <c r="S166" s="24"/>
      <c r="T166" s="24"/>
      <c r="U166" s="24"/>
      <c r="V166" s="24"/>
    </row>
    <row r="167" spans="1:22" ht="21" x14ac:dyDescent="0.35">
      <c r="A167" s="18">
        <v>45737</v>
      </c>
      <c r="B167" s="19">
        <v>23350.400000000001</v>
      </c>
      <c r="C167" s="20">
        <f t="shared" si="6"/>
        <v>6.8649343915537933E-3</v>
      </c>
      <c r="D167" s="22">
        <f>'Daily Retun &amp; Risk'!D167</f>
        <v>-9.3251947967925644E-3</v>
      </c>
      <c r="E167" s="23">
        <f t="shared" si="7"/>
        <v>1.789041095890411E-4</v>
      </c>
      <c r="F167" s="22">
        <f t="shared" si="8"/>
        <v>9.1483310942964656E-3</v>
      </c>
      <c r="N167" s="26">
        <v>134</v>
      </c>
      <c r="O167" s="26">
        <v>-1.8329320543793132E-2</v>
      </c>
      <c r="P167" s="26">
        <v>1.7989449509674994E-3</v>
      </c>
      <c r="Q167" s="24"/>
      <c r="R167" s="24"/>
      <c r="S167" s="24"/>
      <c r="T167" s="24"/>
      <c r="U167" s="24"/>
      <c r="V167" s="24"/>
    </row>
    <row r="168" spans="1:22" ht="21" x14ac:dyDescent="0.35">
      <c r="A168" s="18">
        <v>45736</v>
      </c>
      <c r="B168" s="19">
        <v>23190.65</v>
      </c>
      <c r="C168" s="20">
        <f t="shared" si="6"/>
        <v>1.228044696739064E-2</v>
      </c>
      <c r="D168" s="22">
        <f>'Daily Retun &amp; Risk'!D168</f>
        <v>1.3886144940292467E-2</v>
      </c>
      <c r="E168" s="23">
        <f t="shared" si="7"/>
        <v>1.789041095890411E-4</v>
      </c>
      <c r="F168" s="22">
        <f t="shared" si="8"/>
        <v>1.6413336274539152E-2</v>
      </c>
      <c r="N168" s="26">
        <v>135</v>
      </c>
      <c r="O168" s="26">
        <v>5.0712520314565523E-2</v>
      </c>
      <c r="P168" s="26">
        <v>-1.0423178275318787E-2</v>
      </c>
      <c r="Q168" s="24"/>
      <c r="R168" s="24"/>
      <c r="S168" s="24"/>
      <c r="T168" s="24"/>
      <c r="U168" s="24"/>
      <c r="V168" s="24"/>
    </row>
    <row r="169" spans="1:22" ht="21" x14ac:dyDescent="0.35">
      <c r="A169" s="18">
        <v>45735</v>
      </c>
      <c r="B169" s="19">
        <v>22907.599999999999</v>
      </c>
      <c r="C169" s="20">
        <f t="shared" si="6"/>
        <v>3.2049417598595076E-3</v>
      </c>
      <c r="D169" s="22">
        <f>'Daily Retun &amp; Risk'!D169</f>
        <v>-8.2429894462209593E-4</v>
      </c>
      <c r="E169" s="23">
        <f t="shared" si="7"/>
        <v>1.789041095890411E-4</v>
      </c>
      <c r="F169" s="22">
        <f t="shared" si="8"/>
        <v>4.2383867341727714E-3</v>
      </c>
      <c r="N169" s="26">
        <v>136</v>
      </c>
      <c r="O169" s="26">
        <v>-1.4327795992415073E-2</v>
      </c>
      <c r="P169" s="26">
        <v>-2.6296525057715372E-3</v>
      </c>
      <c r="Q169" s="24"/>
      <c r="R169" s="24"/>
      <c r="S169" s="24"/>
      <c r="T169" s="24"/>
      <c r="U169" s="24"/>
      <c r="V169" s="24"/>
    </row>
    <row r="170" spans="1:22" ht="21" x14ac:dyDescent="0.35">
      <c r="A170" s="18">
        <v>45734</v>
      </c>
      <c r="B170" s="19">
        <v>22834.3</v>
      </c>
      <c r="C170" s="20">
        <f t="shared" si="6"/>
        <v>1.4359668968781786E-2</v>
      </c>
      <c r="D170" s="22">
        <f>'Daily Retun &amp; Risk'!D170</f>
        <v>3.1385898466350648E-2</v>
      </c>
      <c r="E170" s="23">
        <f t="shared" si="7"/>
        <v>1.789041095890411E-4</v>
      </c>
      <c r="F170" s="22">
        <f t="shared" si="8"/>
        <v>1.9202649086474972E-2</v>
      </c>
      <c r="N170" s="26">
        <v>137</v>
      </c>
      <c r="O170" s="26">
        <v>-7.3050475595214494E-3</v>
      </c>
      <c r="P170" s="26">
        <v>-2.0910703647125037E-2</v>
      </c>
      <c r="Q170" s="24"/>
      <c r="R170" s="24"/>
      <c r="S170" s="24"/>
      <c r="T170" s="24"/>
      <c r="U170" s="24"/>
      <c r="V170" s="24"/>
    </row>
    <row r="171" spans="1:22" ht="21" x14ac:dyDescent="0.35">
      <c r="A171" s="18">
        <v>45733</v>
      </c>
      <c r="B171" s="19">
        <v>22508.75</v>
      </c>
      <c r="C171" s="20">
        <f t="shared" si="6"/>
        <v>4.9681714537350846E-3</v>
      </c>
      <c r="D171" s="22">
        <f>'Daily Retun &amp; Risk'!D171</f>
        <v>2.3053566932688337E-2</v>
      </c>
      <c r="E171" s="23">
        <f t="shared" si="7"/>
        <v>1.789041095890411E-4</v>
      </c>
      <c r="F171" s="22">
        <f t="shared" si="8"/>
        <v>6.6037903188896456E-3</v>
      </c>
      <c r="N171" s="26">
        <v>138</v>
      </c>
      <c r="O171" s="26">
        <v>2.3564919673559753E-3</v>
      </c>
      <c r="P171" s="26">
        <v>1.4288204955326123E-2</v>
      </c>
      <c r="Q171" s="24"/>
      <c r="R171" s="24"/>
      <c r="S171" s="24"/>
      <c r="T171" s="24"/>
      <c r="U171" s="24"/>
      <c r="V171" s="24"/>
    </row>
    <row r="172" spans="1:22" ht="21" x14ac:dyDescent="0.35">
      <c r="A172" s="18">
        <v>45729</v>
      </c>
      <c r="B172" s="19">
        <v>22397.200000000001</v>
      </c>
      <c r="C172" s="20">
        <f t="shared" si="6"/>
        <v>-3.2673867932358361E-3</v>
      </c>
      <c r="D172" s="22">
        <f>'Daily Retun &amp; Risk'!D172</f>
        <v>-3.7003516018310153E-3</v>
      </c>
      <c r="E172" s="23">
        <f t="shared" si="7"/>
        <v>1.789041095890411E-4</v>
      </c>
      <c r="F172" s="22">
        <f t="shared" si="8"/>
        <v>-4.4443556300999641E-3</v>
      </c>
      <c r="N172" s="26">
        <v>139</v>
      </c>
      <c r="O172" s="26">
        <v>-4.0369563754806687E-3</v>
      </c>
      <c r="P172" s="26">
        <v>1.9439812659008675E-2</v>
      </c>
      <c r="Q172" s="24"/>
      <c r="R172" s="24"/>
      <c r="S172" s="24"/>
      <c r="T172" s="24"/>
      <c r="U172" s="24"/>
      <c r="V172" s="24"/>
    </row>
    <row r="173" spans="1:22" ht="21" x14ac:dyDescent="0.35">
      <c r="A173" s="18">
        <v>45728</v>
      </c>
      <c r="B173" s="19">
        <v>22470.5</v>
      </c>
      <c r="C173" s="20">
        <f t="shared" si="6"/>
        <v>-1.2186336801356743E-3</v>
      </c>
      <c r="D173" s="22">
        <f>'Daily Retun &amp; Risk'!D173</f>
        <v>2.9062656097530058E-3</v>
      </c>
      <c r="E173" s="23">
        <f t="shared" si="7"/>
        <v>1.789041095890411E-4</v>
      </c>
      <c r="F173" s="22">
        <f t="shared" si="8"/>
        <v>-1.6959173666340178E-3</v>
      </c>
      <c r="N173" s="26">
        <v>140</v>
      </c>
      <c r="O173" s="26">
        <v>6.7344309790616508E-3</v>
      </c>
      <c r="P173" s="26">
        <v>2.531431287848962E-2</v>
      </c>
      <c r="Q173" s="24"/>
      <c r="R173" s="24"/>
      <c r="S173" s="24"/>
      <c r="T173" s="24"/>
      <c r="U173" s="24"/>
      <c r="V173" s="24"/>
    </row>
    <row r="174" spans="1:22" ht="21" x14ac:dyDescent="0.35">
      <c r="A174" s="18">
        <v>45727</v>
      </c>
      <c r="B174" s="19">
        <v>22497.9</v>
      </c>
      <c r="C174" s="20">
        <f t="shared" si="6"/>
        <v>1.6726652208703832E-3</v>
      </c>
      <c r="D174" s="22">
        <f>'Daily Retun &amp; Risk'!D174</f>
        <v>-2.1316389936402707E-2</v>
      </c>
      <c r="E174" s="23">
        <f t="shared" si="7"/>
        <v>1.789041095890411E-4</v>
      </c>
      <c r="F174" s="22">
        <f t="shared" si="8"/>
        <v>2.1828108607107603E-3</v>
      </c>
      <c r="N174" s="26">
        <v>141</v>
      </c>
      <c r="O174" s="26">
        <v>1.1318787053979128E-3</v>
      </c>
      <c r="P174" s="26">
        <v>-2.0200085673625339E-3</v>
      </c>
      <c r="Q174" s="24"/>
      <c r="R174" s="24"/>
      <c r="S174" s="24"/>
      <c r="T174" s="24"/>
      <c r="U174" s="24"/>
      <c r="V174" s="24"/>
    </row>
    <row r="175" spans="1:22" ht="21" x14ac:dyDescent="0.35">
      <c r="A175" s="18">
        <v>45726</v>
      </c>
      <c r="B175" s="19">
        <v>22460.3</v>
      </c>
      <c r="C175" s="20">
        <f t="shared" si="6"/>
        <v>-4.0966182483126905E-3</v>
      </c>
      <c r="D175" s="22">
        <f>'Daily Retun &amp; Risk'!D175</f>
        <v>-9.2994805103745366E-3</v>
      </c>
      <c r="E175" s="23">
        <f t="shared" si="7"/>
        <v>1.789041095890411E-4</v>
      </c>
      <c r="F175" s="22">
        <f t="shared" si="8"/>
        <v>-5.5567841827790405E-3</v>
      </c>
      <c r="N175" s="26">
        <v>142</v>
      </c>
      <c r="O175" s="26">
        <v>3.4647235339305219E-4</v>
      </c>
      <c r="P175" s="26">
        <v>6.2306957798542372E-3</v>
      </c>
      <c r="Q175" s="24"/>
      <c r="R175" s="24"/>
      <c r="S175" s="24"/>
      <c r="T175" s="24"/>
      <c r="U175" s="24"/>
      <c r="V175" s="24"/>
    </row>
    <row r="176" spans="1:22" ht="21" x14ac:dyDescent="0.35">
      <c r="A176" s="18">
        <v>45723</v>
      </c>
      <c r="B176" s="19">
        <v>22552.5</v>
      </c>
      <c r="C176" s="20">
        <f t="shared" si="6"/>
        <v>3.4591948403792664E-4</v>
      </c>
      <c r="D176" s="22">
        <f>'Daily Retun &amp; Risk'!D176</f>
        <v>-5.3196962891005305E-3</v>
      </c>
      <c r="E176" s="23">
        <f t="shared" si="7"/>
        <v>1.789041095890411E-4</v>
      </c>
      <c r="F176" s="22">
        <f t="shared" si="8"/>
        <v>4.0295816607211139E-4</v>
      </c>
      <c r="N176" s="26">
        <v>143</v>
      </c>
      <c r="O176" s="26">
        <v>8.5368805698609923E-4</v>
      </c>
      <c r="P176" s="26">
        <v>-8.0452535881315543E-3</v>
      </c>
      <c r="Q176" s="24"/>
      <c r="R176" s="24"/>
      <c r="S176" s="24"/>
      <c r="T176" s="24"/>
      <c r="U176" s="24"/>
      <c r="V176" s="24"/>
    </row>
    <row r="177" spans="1:22" ht="21" x14ac:dyDescent="0.35">
      <c r="A177" s="18">
        <v>45722</v>
      </c>
      <c r="B177" s="19">
        <v>22544.7</v>
      </c>
      <c r="C177" s="20">
        <f t="shared" si="6"/>
        <v>9.2420781725971422E-3</v>
      </c>
      <c r="D177" s="22">
        <f>'Daily Retun &amp; Risk'!D177</f>
        <v>5.7780376514314016E-3</v>
      </c>
      <c r="E177" s="23">
        <f t="shared" si="7"/>
        <v>1.789041095890411E-4</v>
      </c>
      <c r="F177" s="22">
        <f t="shared" si="8"/>
        <v>1.2337311203126318E-2</v>
      </c>
      <c r="N177" s="26">
        <v>144</v>
      </c>
      <c r="O177" s="26">
        <v>1.6482707291551105E-2</v>
      </c>
      <c r="P177" s="26">
        <v>6.435393867771394E-3</v>
      </c>
      <c r="Q177" s="24"/>
      <c r="R177" s="24"/>
      <c r="S177" s="24"/>
      <c r="T177" s="24"/>
      <c r="U177" s="24"/>
      <c r="V177" s="24"/>
    </row>
    <row r="178" spans="1:22" ht="21" x14ac:dyDescent="0.35">
      <c r="A178" s="18">
        <v>45721</v>
      </c>
      <c r="B178" s="19">
        <v>22337.3</v>
      </c>
      <c r="C178" s="20">
        <f t="shared" si="6"/>
        <v>1.1465694568782813E-2</v>
      </c>
      <c r="D178" s="22">
        <f>'Daily Retun &amp; Risk'!D178</f>
        <v>4.2422488545001628E-2</v>
      </c>
      <c r="E178" s="23">
        <f t="shared" si="7"/>
        <v>1.789041095890411E-4</v>
      </c>
      <c r="F178" s="22">
        <f t="shared" si="8"/>
        <v>1.5320331630267537E-2</v>
      </c>
      <c r="N178" s="26">
        <v>145</v>
      </c>
      <c r="O178" s="26">
        <v>-1.1078618173717728E-2</v>
      </c>
      <c r="P178" s="26">
        <v>-1.8256818864819391E-3</v>
      </c>
      <c r="Q178" s="24"/>
      <c r="R178" s="24"/>
      <c r="S178" s="24"/>
      <c r="T178" s="24"/>
      <c r="U178" s="24"/>
      <c r="V178" s="24"/>
    </row>
    <row r="179" spans="1:22" ht="21" x14ac:dyDescent="0.35">
      <c r="A179" s="18">
        <v>45720</v>
      </c>
      <c r="B179" s="19">
        <v>22082.65</v>
      </c>
      <c r="C179" s="20">
        <f t="shared" si="6"/>
        <v>-1.6582982605433554E-3</v>
      </c>
      <c r="D179" s="22">
        <f>'Daily Retun &amp; Risk'!D179</f>
        <v>5.5499738279277003E-4</v>
      </c>
      <c r="E179" s="23">
        <f t="shared" si="7"/>
        <v>1.789041095890411E-4</v>
      </c>
      <c r="F179" s="22">
        <f t="shared" si="8"/>
        <v>-2.285735118786028E-3</v>
      </c>
      <c r="N179" s="26">
        <v>146</v>
      </c>
      <c r="O179" s="26">
        <v>-4.1000693517956339E-3</v>
      </c>
      <c r="P179" s="26">
        <v>-1.5364591811977248E-3</v>
      </c>
      <c r="Q179" s="24"/>
      <c r="R179" s="24"/>
      <c r="S179" s="24"/>
      <c r="T179" s="24"/>
      <c r="U179" s="24"/>
      <c r="V179" s="24"/>
    </row>
    <row r="180" spans="1:22" ht="21" x14ac:dyDescent="0.35">
      <c r="A180" s="18">
        <v>45719</v>
      </c>
      <c r="B180" s="19">
        <v>22119.3</v>
      </c>
      <c r="C180" s="20">
        <f t="shared" si="6"/>
        <v>-2.4410089624874701E-4</v>
      </c>
      <c r="D180" s="22">
        <f>'Daily Retun &amp; Risk'!D180</f>
        <v>1.0313733910404086E-2</v>
      </c>
      <c r="E180" s="23">
        <f t="shared" si="7"/>
        <v>1.789041095890411E-4</v>
      </c>
      <c r="F180" s="22">
        <f t="shared" si="8"/>
        <v>-3.885645308480529E-4</v>
      </c>
      <c r="N180" s="26">
        <v>147</v>
      </c>
      <c r="O180" s="26">
        <v>9.3889728915394592E-3</v>
      </c>
      <c r="P180" s="26">
        <v>2.573294774240564E-2</v>
      </c>
      <c r="Q180" s="24"/>
      <c r="R180" s="24"/>
      <c r="S180" s="24"/>
      <c r="T180" s="24"/>
      <c r="U180" s="24"/>
      <c r="V180" s="24"/>
    </row>
    <row r="181" spans="1:22" ht="21" x14ac:dyDescent="0.35">
      <c r="A181" s="18">
        <v>45716</v>
      </c>
      <c r="B181" s="19">
        <v>22124.7</v>
      </c>
      <c r="C181" s="20">
        <f t="shared" si="6"/>
        <v>-1.8820898177206152E-2</v>
      </c>
      <c r="D181" s="22">
        <f>'Daily Retun &amp; Risk'!D181</f>
        <v>-5.3272881813386692E-2</v>
      </c>
      <c r="E181" s="23">
        <f t="shared" si="7"/>
        <v>1.789041095890411E-4</v>
      </c>
      <c r="F181" s="22">
        <f t="shared" si="8"/>
        <v>-2.5309664166115492E-2</v>
      </c>
      <c r="N181" s="26">
        <v>148</v>
      </c>
      <c r="O181" s="26">
        <v>2.7596995723329727E-3</v>
      </c>
      <c r="P181" s="26">
        <v>1.626938154395657E-2</v>
      </c>
      <c r="Q181" s="24"/>
      <c r="R181" s="24"/>
      <c r="S181" s="24"/>
      <c r="T181" s="24"/>
      <c r="U181" s="24"/>
      <c r="V181" s="24"/>
    </row>
    <row r="182" spans="1:22" ht="21" x14ac:dyDescent="0.35">
      <c r="A182" s="18">
        <v>45715</v>
      </c>
      <c r="B182" s="19">
        <v>22545.05</v>
      </c>
      <c r="C182" s="20">
        <f t="shared" si="6"/>
        <v>-1.108829387776427E-4</v>
      </c>
      <c r="D182" s="22">
        <f>'Daily Retun &amp; Risk'!D182</f>
        <v>-1.8640173448906703E-2</v>
      </c>
      <c r="E182" s="23">
        <f t="shared" si="7"/>
        <v>1.789041095890411E-4</v>
      </c>
      <c r="F182" s="22">
        <f t="shared" si="8"/>
        <v>-2.0985030249463305E-4</v>
      </c>
      <c r="N182" s="26">
        <v>149</v>
      </c>
      <c r="O182" s="26">
        <v>1.5760455677729303E-2</v>
      </c>
      <c r="P182" s="26">
        <v>1.5325561366945656E-2</v>
      </c>
      <c r="Q182" s="24"/>
      <c r="R182" s="24"/>
      <c r="S182" s="24"/>
      <c r="T182" s="24"/>
      <c r="U182" s="24"/>
      <c r="V182" s="24"/>
    </row>
    <row r="183" spans="1:22" ht="21" x14ac:dyDescent="0.35">
      <c r="A183" s="18">
        <v>45713</v>
      </c>
      <c r="B183" s="19">
        <v>22547.55</v>
      </c>
      <c r="C183" s="20">
        <f t="shared" si="6"/>
        <v>-2.5720107722782741E-4</v>
      </c>
      <c r="D183" s="22">
        <f>'Daily Retun &amp; Risk'!D183</f>
        <v>2.5023858835375622E-2</v>
      </c>
      <c r="E183" s="23">
        <f t="shared" si="7"/>
        <v>1.789041095890411E-4</v>
      </c>
      <c r="F183" s="22">
        <f t="shared" si="8"/>
        <v>-4.0613865358202672E-4</v>
      </c>
      <c r="N183" s="26">
        <v>150</v>
      </c>
      <c r="O183" s="26">
        <v>2.3958263014484713E-2</v>
      </c>
      <c r="P183" s="26">
        <v>-7.0967419673258862E-3</v>
      </c>
      <c r="Q183" s="24"/>
      <c r="R183" s="24"/>
      <c r="S183" s="24"/>
      <c r="T183" s="24"/>
      <c r="U183" s="24"/>
      <c r="V183" s="24"/>
    </row>
    <row r="184" spans="1:22" ht="21" x14ac:dyDescent="0.35">
      <c r="A184" s="18">
        <v>45712</v>
      </c>
      <c r="B184" s="19">
        <v>22553.35</v>
      </c>
      <c r="C184" s="20">
        <f t="shared" si="6"/>
        <v>-1.069708155537406E-2</v>
      </c>
      <c r="D184" s="22">
        <f>'Daily Retun &amp; Risk'!D184</f>
        <v>1.4818391277050246E-2</v>
      </c>
      <c r="E184" s="23">
        <f t="shared" si="7"/>
        <v>1.789041095890411E-4</v>
      </c>
      <c r="F184" s="22">
        <f t="shared" si="8"/>
        <v>-1.4411421568676475E-2</v>
      </c>
      <c r="N184" s="26">
        <v>151</v>
      </c>
      <c r="O184" s="26">
        <v>6.6764013887975933E-3</v>
      </c>
      <c r="P184" s="26">
        <v>-1.099409926797189E-2</v>
      </c>
      <c r="Q184" s="24"/>
      <c r="R184" s="24"/>
      <c r="S184" s="24"/>
      <c r="T184" s="24"/>
      <c r="U184" s="24"/>
      <c r="V184" s="24"/>
    </row>
    <row r="185" spans="1:22" ht="21" x14ac:dyDescent="0.35">
      <c r="A185" s="18">
        <v>45709</v>
      </c>
      <c r="B185" s="19">
        <v>22795.9</v>
      </c>
      <c r="C185" s="20">
        <f t="shared" si="6"/>
        <v>-5.1302863291465021E-3</v>
      </c>
      <c r="D185" s="22">
        <f>'Daily Retun &amp; Risk'!D185</f>
        <v>-6.1775374364821133E-2</v>
      </c>
      <c r="E185" s="23">
        <f t="shared" si="7"/>
        <v>1.789041095890411E-4</v>
      </c>
      <c r="F185" s="22">
        <f t="shared" si="8"/>
        <v>-6.9434680574349365E-3</v>
      </c>
      <c r="N185" s="26">
        <v>152</v>
      </c>
      <c r="O185" s="26">
        <v>2.9508246000949381E-2</v>
      </c>
      <c r="P185" s="26">
        <v>-4.3842289556016815E-3</v>
      </c>
      <c r="Q185" s="24"/>
      <c r="R185" s="24"/>
      <c r="S185" s="24"/>
      <c r="T185" s="24"/>
      <c r="U185" s="24"/>
      <c r="V185" s="24"/>
    </row>
    <row r="186" spans="1:22" ht="21" x14ac:dyDescent="0.35">
      <c r="A186" s="18">
        <v>45708</v>
      </c>
      <c r="B186" s="19">
        <v>22913.15</v>
      </c>
      <c r="C186" s="20">
        <f t="shared" si="6"/>
        <v>-8.615791860687675E-4</v>
      </c>
      <c r="D186" s="22">
        <f>'Daily Retun &amp; Risk'!D186</f>
        <v>2.9322164690990957E-2</v>
      </c>
      <c r="E186" s="23">
        <f t="shared" si="7"/>
        <v>1.789041095890411E-4</v>
      </c>
      <c r="F186" s="22">
        <f t="shared" si="8"/>
        <v>-1.2169224953823034E-3</v>
      </c>
      <c r="N186" s="26">
        <v>153</v>
      </c>
      <c r="O186" s="26">
        <v>2.5916932582014145E-2</v>
      </c>
      <c r="P186" s="26">
        <v>-3.4801881627950573E-3</v>
      </c>
      <c r="Q186" s="24"/>
      <c r="R186" s="24"/>
      <c r="S186" s="24"/>
      <c r="T186" s="24"/>
      <c r="U186" s="24"/>
      <c r="V186" s="24"/>
    </row>
    <row r="187" spans="1:22" ht="21" x14ac:dyDescent="0.35">
      <c r="A187" s="18">
        <v>45707</v>
      </c>
      <c r="B187" s="19">
        <v>22932.9</v>
      </c>
      <c r="C187" s="20">
        <f t="shared" si="6"/>
        <v>-5.4056176144420191E-4</v>
      </c>
      <c r="D187" s="22">
        <f>'Daily Retun &amp; Risk'!D187</f>
        <v>-1.1771310064254286E-2</v>
      </c>
      <c r="E187" s="23">
        <f t="shared" si="7"/>
        <v>1.789041095890411E-4</v>
      </c>
      <c r="F187" s="22">
        <f t="shared" si="8"/>
        <v>-7.8627198535458954E-4</v>
      </c>
      <c r="N187" s="26">
        <v>154</v>
      </c>
      <c r="O187" s="26">
        <v>-7.7193350760204624E-3</v>
      </c>
      <c r="P187" s="26">
        <v>7.5013730203697402E-3</v>
      </c>
      <c r="Q187" s="24"/>
      <c r="R187" s="24"/>
      <c r="S187" s="24"/>
      <c r="T187" s="24"/>
      <c r="U187" s="24"/>
      <c r="V187" s="24"/>
    </row>
    <row r="188" spans="1:22" ht="21" x14ac:dyDescent="0.35">
      <c r="A188" s="18">
        <v>45706</v>
      </c>
      <c r="B188" s="19">
        <v>22945.3</v>
      </c>
      <c r="C188" s="20">
        <f t="shared" si="6"/>
        <v>-6.1867170548291742E-4</v>
      </c>
      <c r="D188" s="22">
        <f>'Daily Retun &amp; Risk'!D188</f>
        <v>-1.4906003488737919E-2</v>
      </c>
      <c r="E188" s="23">
        <f t="shared" si="7"/>
        <v>1.789041095890411E-4</v>
      </c>
      <c r="F188" s="22">
        <f t="shared" si="8"/>
        <v>-8.9105784636462422E-4</v>
      </c>
      <c r="N188" s="26">
        <v>155</v>
      </c>
      <c r="O188" s="26">
        <v>2.2908417421004051E-2</v>
      </c>
      <c r="P188" s="26">
        <v>-9.9867436820235429E-3</v>
      </c>
      <c r="Q188" s="24"/>
      <c r="R188" s="24"/>
      <c r="S188" s="24"/>
      <c r="T188" s="24"/>
      <c r="U188" s="24"/>
      <c r="V188" s="24"/>
    </row>
    <row r="189" spans="1:22" ht="21" x14ac:dyDescent="0.35">
      <c r="A189" s="18">
        <v>45705</v>
      </c>
      <c r="B189" s="19">
        <v>22959.5</v>
      </c>
      <c r="C189" s="20">
        <f t="shared" si="6"/>
        <v>1.318406118349223E-3</v>
      </c>
      <c r="D189" s="22">
        <f>'Daily Retun &amp; Risk'!D189</f>
        <v>-3.8328023973325791E-2</v>
      </c>
      <c r="E189" s="23">
        <f t="shared" si="7"/>
        <v>1.789041095890411E-4</v>
      </c>
      <c r="F189" s="22">
        <f t="shared" si="8"/>
        <v>1.7075660562858258E-3</v>
      </c>
      <c r="N189" s="26">
        <v>156</v>
      </c>
      <c r="O189" s="26">
        <v>-4.3787095051348424E-2</v>
      </c>
      <c r="P189" s="26">
        <v>2.3880467876864972E-3</v>
      </c>
      <c r="Q189" s="24"/>
      <c r="R189" s="24"/>
      <c r="S189" s="24"/>
      <c r="T189" s="24"/>
      <c r="U189" s="24"/>
      <c r="V189" s="24"/>
    </row>
    <row r="190" spans="1:22" ht="21" x14ac:dyDescent="0.35">
      <c r="A190" s="18">
        <v>45702</v>
      </c>
      <c r="B190" s="19">
        <v>22929.25</v>
      </c>
      <c r="C190" s="20">
        <f t="shared" si="6"/>
        <v>-4.4451141660866375E-3</v>
      </c>
      <c r="D190" s="22">
        <f>'Daily Retun &amp; Risk'!D190</f>
        <v>-1.1958389980107708E-2</v>
      </c>
      <c r="E190" s="23">
        <f t="shared" si="7"/>
        <v>1.789041095890411E-4</v>
      </c>
      <c r="F190" s="22">
        <f t="shared" si="8"/>
        <v>-6.0242975737030621E-3</v>
      </c>
      <c r="N190" s="26">
        <v>157</v>
      </c>
      <c r="O190" s="26">
        <v>-1.9650598279379906E-2</v>
      </c>
      <c r="P190" s="26">
        <v>1.3928616461607236E-2</v>
      </c>
      <c r="Q190" s="24"/>
      <c r="R190" s="24"/>
      <c r="S190" s="24"/>
      <c r="T190" s="24"/>
      <c r="U190" s="24"/>
      <c r="V190" s="24"/>
    </row>
    <row r="191" spans="1:22" ht="21" x14ac:dyDescent="0.35">
      <c r="A191" s="18">
        <v>45701</v>
      </c>
      <c r="B191" s="19">
        <v>23031.4</v>
      </c>
      <c r="C191" s="20">
        <f t="shared" si="6"/>
        <v>-6.0117219533637628E-4</v>
      </c>
      <c r="D191" s="22">
        <f>'Daily Retun &amp; Risk'!D191</f>
        <v>-3.084559543503832E-3</v>
      </c>
      <c r="E191" s="23">
        <f t="shared" si="7"/>
        <v>1.789041095890411E-4</v>
      </c>
      <c r="F191" s="22">
        <f t="shared" si="8"/>
        <v>-8.6758194633004891E-4</v>
      </c>
      <c r="N191" s="26">
        <v>158</v>
      </c>
      <c r="O191" s="26">
        <v>-4.2944591605154235E-3</v>
      </c>
      <c r="P191" s="26">
        <v>-5.6503741816509119E-3</v>
      </c>
      <c r="Q191" s="24"/>
      <c r="R191" s="24"/>
      <c r="S191" s="24"/>
      <c r="T191" s="24"/>
      <c r="U191" s="24"/>
      <c r="V191" s="24"/>
    </row>
    <row r="192" spans="1:22" ht="21" x14ac:dyDescent="0.35">
      <c r="A192" s="18">
        <v>45700</v>
      </c>
      <c r="B192" s="19">
        <v>23045.25</v>
      </c>
      <c r="C192" s="20">
        <f t="shared" si="6"/>
        <v>-1.1514180951839536E-3</v>
      </c>
      <c r="D192" s="22">
        <f>'Daily Retun &amp; Risk'!D192</f>
        <v>-3.2523057800891167E-2</v>
      </c>
      <c r="E192" s="23">
        <f t="shared" si="7"/>
        <v>1.789041095890411E-4</v>
      </c>
      <c r="F192" s="22">
        <f t="shared" si="8"/>
        <v>-1.6057464795704171E-3</v>
      </c>
      <c r="N192" s="26">
        <v>159</v>
      </c>
      <c r="O192" s="26">
        <v>1.0059040501668887E-2</v>
      </c>
      <c r="P192" s="26">
        <v>-1.0191730604129663E-2</v>
      </c>
      <c r="Q192" s="24"/>
      <c r="R192" s="24"/>
      <c r="S192" s="24"/>
      <c r="T192" s="24"/>
      <c r="U192" s="24"/>
      <c r="V192" s="24"/>
    </row>
    <row r="193" spans="1:22" ht="21" x14ac:dyDescent="0.35">
      <c r="A193" s="18">
        <v>45699</v>
      </c>
      <c r="B193" s="19">
        <v>23071.8</v>
      </c>
      <c r="C193" s="20">
        <f t="shared" si="6"/>
        <v>-1.3338295712820561E-2</v>
      </c>
      <c r="D193" s="22">
        <f>'Daily Retun &amp; Risk'!D193</f>
        <v>-1.6487068402068233E-2</v>
      </c>
      <c r="E193" s="23">
        <f t="shared" si="7"/>
        <v>1.789041095890411E-4</v>
      </c>
      <c r="F193" s="22">
        <f t="shared" si="8"/>
        <v>-1.7954656722740176E-2</v>
      </c>
      <c r="N193" s="26">
        <v>160</v>
      </c>
      <c r="O193" s="26">
        <v>-1.9882052861632526E-2</v>
      </c>
      <c r="P193" s="26">
        <v>9.3609987447808157E-3</v>
      </c>
      <c r="Q193" s="24"/>
      <c r="R193" s="24"/>
      <c r="S193" s="24"/>
      <c r="T193" s="24"/>
      <c r="U193" s="24"/>
      <c r="V193" s="24"/>
    </row>
    <row r="194" spans="1:22" ht="21" x14ac:dyDescent="0.35">
      <c r="A194" s="18">
        <v>45698</v>
      </c>
      <c r="B194" s="19">
        <v>23381.599999999999</v>
      </c>
      <c r="C194" s="20">
        <f t="shared" si="6"/>
        <v>-7.598848278210316E-3</v>
      </c>
      <c r="D194" s="22">
        <f>'Daily Retun &amp; Risk'!D194</f>
        <v>-1.9319697449935069E-2</v>
      </c>
      <c r="E194" s="23">
        <f t="shared" si="7"/>
        <v>1.789041095890411E-4</v>
      </c>
      <c r="F194" s="22">
        <f t="shared" si="8"/>
        <v>-1.0255087243348705E-2</v>
      </c>
      <c r="N194" s="26">
        <v>161</v>
      </c>
      <c r="O194" s="26">
        <v>-3.6917005905306921E-3</v>
      </c>
      <c r="P194" s="26">
        <v>-2.1204006167619405E-2</v>
      </c>
      <c r="Q194" s="24"/>
      <c r="R194" s="24"/>
      <c r="S194" s="24"/>
      <c r="T194" s="24"/>
      <c r="U194" s="24"/>
      <c r="V194" s="24"/>
    </row>
    <row r="195" spans="1:22" ht="21" x14ac:dyDescent="0.35">
      <c r="A195" s="18">
        <v>45695</v>
      </c>
      <c r="B195" s="19">
        <v>23559.95</v>
      </c>
      <c r="C195" s="20">
        <f t="shared" ref="C195:C248" si="9">LN(B195/B196)</f>
        <v>-1.8404145702315485E-3</v>
      </c>
      <c r="D195" s="22">
        <f>'Daily Retun &amp; Risk'!D195</f>
        <v>1.845944123171395E-2</v>
      </c>
      <c r="E195" s="23">
        <f t="shared" ref="E195:E248" si="10">6.53%/365</f>
        <v>1.789041095890411E-4</v>
      </c>
      <c r="F195" s="22">
        <f t="shared" ref="F195:F248" si="11">E195+((C195-E195)*$O$27)</f>
        <v>-2.5300473449628739E-3</v>
      </c>
      <c r="N195" s="26">
        <v>162</v>
      </c>
      <c r="O195" s="26">
        <v>6.4326353122377269E-3</v>
      </c>
      <c r="P195" s="26">
        <v>-9.8114796756132005E-3</v>
      </c>
      <c r="Q195" s="24"/>
      <c r="R195" s="24"/>
      <c r="S195" s="24"/>
      <c r="T195" s="24"/>
      <c r="U195" s="24"/>
      <c r="V195" s="24"/>
    </row>
    <row r="196" spans="1:22" ht="21" x14ac:dyDescent="0.35">
      <c r="A196" s="18">
        <v>45694</v>
      </c>
      <c r="B196" s="19">
        <v>23603.35</v>
      </c>
      <c r="C196" s="20">
        <f t="shared" si="9"/>
        <v>-3.9302666996406553E-3</v>
      </c>
      <c r="D196" s="22">
        <f>'Daily Retun &amp; Risk'!D196</f>
        <v>-1.2281161527690666E-2</v>
      </c>
      <c r="E196" s="23">
        <f t="shared" si="10"/>
        <v>1.789041095890411E-4</v>
      </c>
      <c r="F196" s="22">
        <f t="shared" si="11"/>
        <v>-5.3336206602279043E-3</v>
      </c>
      <c r="N196" s="26">
        <v>163</v>
      </c>
      <c r="O196" s="26">
        <v>-9.9010917504108939E-3</v>
      </c>
      <c r="P196" s="26">
        <v>1.2182843299413392E-2</v>
      </c>
      <c r="Q196" s="24"/>
      <c r="R196" s="24"/>
      <c r="S196" s="24"/>
      <c r="T196" s="24"/>
      <c r="U196" s="24"/>
      <c r="V196" s="24"/>
    </row>
    <row r="197" spans="1:22" ht="21" x14ac:dyDescent="0.35">
      <c r="A197" s="18">
        <v>45693</v>
      </c>
      <c r="B197" s="19">
        <v>23696.3</v>
      </c>
      <c r="C197" s="20">
        <f t="shared" si="9"/>
        <v>-1.8108786231885072E-3</v>
      </c>
      <c r="D197" s="22">
        <f>'Daily Retun &amp; Risk'!D197</f>
        <v>-3.235029047021401E-3</v>
      </c>
      <c r="E197" s="23">
        <f t="shared" si="10"/>
        <v>1.789041095890411E-4</v>
      </c>
      <c r="F197" s="22">
        <f t="shared" si="11"/>
        <v>-2.490424353553255E-3</v>
      </c>
      <c r="N197" s="26">
        <v>164</v>
      </c>
      <c r="O197" s="26">
        <v>1.0268661449710408E-3</v>
      </c>
      <c r="P197" s="26">
        <v>-1.5072499630853931E-2</v>
      </c>
      <c r="Q197" s="24"/>
      <c r="R197" s="24"/>
      <c r="S197" s="24"/>
      <c r="T197" s="24"/>
      <c r="U197" s="24"/>
      <c r="V197" s="24"/>
    </row>
    <row r="198" spans="1:22" ht="21" x14ac:dyDescent="0.35">
      <c r="A198" s="18">
        <v>45692</v>
      </c>
      <c r="B198" s="19">
        <v>23739.25</v>
      </c>
      <c r="C198" s="20">
        <f t="shared" si="9"/>
        <v>1.6059690853104273E-2</v>
      </c>
      <c r="D198" s="22">
        <f>'Daily Retun &amp; Risk'!D198</f>
        <v>4.951010922899607E-3</v>
      </c>
      <c r="E198" s="23">
        <f t="shared" si="10"/>
        <v>1.789041095890411E-4</v>
      </c>
      <c r="F198" s="22">
        <f t="shared" si="11"/>
        <v>2.1483258285174927E-2</v>
      </c>
      <c r="N198" s="26">
        <v>165</v>
      </c>
      <c r="O198" s="26">
        <v>1.8019512228811242E-2</v>
      </c>
      <c r="P198" s="26">
        <v>-2.7756792273908933E-2</v>
      </c>
      <c r="Q198" s="24"/>
      <c r="R198" s="24"/>
      <c r="S198" s="24"/>
      <c r="T198" s="24"/>
      <c r="U198" s="24"/>
      <c r="V198" s="24"/>
    </row>
    <row r="199" spans="1:22" ht="21" x14ac:dyDescent="0.35">
      <c r="A199" s="18">
        <v>45691</v>
      </c>
      <c r="B199" s="19">
        <v>23361.05</v>
      </c>
      <c r="C199" s="20">
        <f t="shared" si="9"/>
        <v>-5.1704524791751734E-3</v>
      </c>
      <c r="D199" s="22">
        <f>'Daily Retun &amp; Risk'!D199</f>
        <v>3.089821080800511E-2</v>
      </c>
      <c r="E199" s="23">
        <f t="shared" si="10"/>
        <v>1.789041095890411E-4</v>
      </c>
      <c r="F199" s="22">
        <f t="shared" si="11"/>
        <v>-6.9973516527442152E-3</v>
      </c>
      <c r="N199" s="26">
        <v>166</v>
      </c>
      <c r="O199" s="26">
        <v>9.6523744385941194E-3</v>
      </c>
      <c r="P199" s="26">
        <v>-1.8977569235386682E-2</v>
      </c>
      <c r="Q199" s="24"/>
      <c r="R199" s="24"/>
      <c r="S199" s="24"/>
      <c r="T199" s="24"/>
      <c r="U199" s="24"/>
      <c r="V199" s="24"/>
    </row>
    <row r="200" spans="1:22" ht="21" x14ac:dyDescent="0.35">
      <c r="A200" s="18">
        <v>45689</v>
      </c>
      <c r="B200" s="19">
        <v>23482.15</v>
      </c>
      <c r="C200" s="20">
        <f t="shared" si="9"/>
        <v>-1.1172460305538994E-3</v>
      </c>
      <c r="D200" s="22">
        <f>'Daily Retun &amp; Risk'!D200</f>
        <v>2.8650626150211429E-2</v>
      </c>
      <c r="E200" s="23">
        <f t="shared" si="10"/>
        <v>1.789041095890411E-4</v>
      </c>
      <c r="F200" s="22">
        <f t="shared" si="11"/>
        <v>-1.5599040550389647E-3</v>
      </c>
      <c r="N200" s="26">
        <v>167</v>
      </c>
      <c r="O200" s="26">
        <v>1.6917379618836808E-2</v>
      </c>
      <c r="P200" s="26">
        <v>-3.0312346785443412E-3</v>
      </c>
      <c r="Q200" s="24"/>
      <c r="R200" s="24"/>
      <c r="S200" s="24"/>
      <c r="T200" s="24"/>
      <c r="U200" s="24"/>
      <c r="V200" s="24"/>
    </row>
    <row r="201" spans="1:22" ht="21" x14ac:dyDescent="0.35">
      <c r="A201" s="18">
        <v>45688</v>
      </c>
      <c r="B201" s="19">
        <v>23508.400000000001</v>
      </c>
      <c r="C201" s="20">
        <f t="shared" si="9"/>
        <v>1.1074177663955638E-2</v>
      </c>
      <c r="D201" s="22">
        <f>'Daily Retun &amp; Risk'!D201</f>
        <v>6.1731697556800993E-3</v>
      </c>
      <c r="E201" s="23">
        <f t="shared" si="10"/>
        <v>1.789041095890411E-4</v>
      </c>
      <c r="F201" s="22">
        <f t="shared" si="11"/>
        <v>1.4795104830054176E-2</v>
      </c>
      <c r="N201" s="26">
        <v>168</v>
      </c>
      <c r="O201" s="26">
        <v>4.7424300784704243E-3</v>
      </c>
      <c r="P201" s="26">
        <v>-5.5667290230925204E-3</v>
      </c>
      <c r="Q201" s="24"/>
      <c r="R201" s="24"/>
      <c r="S201" s="24"/>
      <c r="T201" s="24"/>
      <c r="U201" s="24"/>
      <c r="V201" s="24"/>
    </row>
    <row r="202" spans="1:22" ht="21" x14ac:dyDescent="0.35">
      <c r="A202" s="18">
        <v>45687</v>
      </c>
      <c r="B202" s="19">
        <v>23249.5</v>
      </c>
      <c r="C202" s="20">
        <f t="shared" si="9"/>
        <v>3.7231312102430775E-3</v>
      </c>
      <c r="D202" s="22">
        <f>'Daily Retun &amp; Risk'!D202</f>
        <v>1.5977815397836388E-2</v>
      </c>
      <c r="E202" s="23">
        <f t="shared" si="10"/>
        <v>1.789041095890411E-4</v>
      </c>
      <c r="F202" s="22">
        <f t="shared" si="11"/>
        <v>4.933546977762826E-3</v>
      </c>
      <c r="N202" s="26">
        <v>169</v>
      </c>
      <c r="O202" s="26">
        <v>1.9706692430772624E-2</v>
      </c>
      <c r="P202" s="26">
        <v>1.1679206035578024E-2</v>
      </c>
      <c r="Q202" s="24"/>
      <c r="R202" s="24"/>
      <c r="S202" s="24"/>
      <c r="T202" s="24"/>
      <c r="U202" s="24"/>
      <c r="V202" s="24"/>
    </row>
    <row r="203" spans="1:22" ht="21" x14ac:dyDescent="0.35">
      <c r="A203" s="18">
        <v>45686</v>
      </c>
      <c r="B203" s="19">
        <v>23163.1</v>
      </c>
      <c r="C203" s="20">
        <f t="shared" si="9"/>
        <v>8.9267044567532539E-3</v>
      </c>
      <c r="D203" s="22">
        <f>'Daily Retun &amp; Risk'!D203</f>
        <v>1.8551166611438144E-2</v>
      </c>
      <c r="E203" s="23">
        <f t="shared" si="10"/>
        <v>1.789041095890411E-4</v>
      </c>
      <c r="F203" s="22">
        <f t="shared" si="11"/>
        <v>1.1914231827493221E-2</v>
      </c>
      <c r="N203" s="26">
        <v>170</v>
      </c>
      <c r="O203" s="26">
        <v>7.1078336631873002E-3</v>
      </c>
      <c r="P203" s="26">
        <v>1.5945733269501036E-2</v>
      </c>
      <c r="Q203" s="24"/>
      <c r="R203" s="24"/>
      <c r="S203" s="24"/>
      <c r="T203" s="24"/>
      <c r="U203" s="24"/>
      <c r="V203" s="24"/>
    </row>
    <row r="204" spans="1:22" ht="21" x14ac:dyDescent="0.35">
      <c r="A204" s="18">
        <v>45685</v>
      </c>
      <c r="B204" s="19">
        <v>22957.25</v>
      </c>
      <c r="C204" s="20">
        <f t="shared" si="9"/>
        <v>5.5955626228530505E-3</v>
      </c>
      <c r="D204" s="22">
        <f>'Daily Retun &amp; Risk'!D204</f>
        <v>1.3679144237245722E-2</v>
      </c>
      <c r="E204" s="23">
        <f t="shared" si="10"/>
        <v>1.789041095890411E-4</v>
      </c>
      <c r="F204" s="22">
        <f t="shared" si="11"/>
        <v>7.4454465850051776E-3</v>
      </c>
      <c r="N204" s="26">
        <v>171</v>
      </c>
      <c r="O204" s="26">
        <v>-3.9403122858023103E-3</v>
      </c>
      <c r="P204" s="26">
        <v>2.3996068397129497E-4</v>
      </c>
      <c r="Q204" s="24"/>
      <c r="R204" s="24"/>
      <c r="S204" s="24"/>
      <c r="T204" s="24"/>
      <c r="U204" s="24"/>
      <c r="V204" s="24"/>
    </row>
    <row r="205" spans="1:22" ht="21" x14ac:dyDescent="0.35">
      <c r="A205" s="18">
        <v>45684</v>
      </c>
      <c r="B205" s="19">
        <v>22829.15</v>
      </c>
      <c r="C205" s="20">
        <f t="shared" si="9"/>
        <v>-1.1456670033394137E-2</v>
      </c>
      <c r="D205" s="22">
        <f>'Daily Retun &amp; Risk'!D205</f>
        <v>1.0722630695087757E-2</v>
      </c>
      <c r="E205" s="23">
        <f t="shared" si="10"/>
        <v>1.789041095890411E-4</v>
      </c>
      <c r="F205" s="22">
        <f t="shared" si="11"/>
        <v>-1.5430422845174438E-2</v>
      </c>
      <c r="N205" s="26">
        <v>172</v>
      </c>
      <c r="O205" s="26">
        <v>-1.1918740223363642E-3</v>
      </c>
      <c r="P205" s="26">
        <v>4.0981396320893702E-3</v>
      </c>
      <c r="Q205" s="24"/>
      <c r="R205" s="24"/>
      <c r="S205" s="24"/>
      <c r="T205" s="24"/>
      <c r="U205" s="24"/>
      <c r="V205" s="24"/>
    </row>
    <row r="206" spans="1:22" ht="21" x14ac:dyDescent="0.35">
      <c r="A206" s="18">
        <v>45681</v>
      </c>
      <c r="B206" s="19">
        <v>23092.2</v>
      </c>
      <c r="C206" s="20">
        <f t="shared" si="9"/>
        <v>-4.8879573663295961E-3</v>
      </c>
      <c r="D206" s="22">
        <f>'Daily Retun &amp; Risk'!D206</f>
        <v>-2.990808112973125E-2</v>
      </c>
      <c r="E206" s="23">
        <f t="shared" si="10"/>
        <v>1.789041095890411E-4</v>
      </c>
      <c r="F206" s="22">
        <f t="shared" si="11"/>
        <v>-6.6183795001591526E-3</v>
      </c>
      <c r="N206" s="26">
        <v>173</v>
      </c>
      <c r="O206" s="26">
        <v>2.6868542050084137E-3</v>
      </c>
      <c r="P206" s="26">
        <v>-2.4003244141411119E-2</v>
      </c>
      <c r="Q206" s="24"/>
      <c r="R206" s="24"/>
      <c r="S206" s="24"/>
      <c r="T206" s="24"/>
      <c r="U206" s="24"/>
      <c r="V206" s="24"/>
    </row>
    <row r="207" spans="1:22" ht="21" x14ac:dyDescent="0.35">
      <c r="A207" s="18">
        <v>45680</v>
      </c>
      <c r="B207" s="19">
        <v>23205.35</v>
      </c>
      <c r="C207" s="20">
        <f t="shared" si="9"/>
        <v>2.1570001913706685E-3</v>
      </c>
      <c r="D207" s="22">
        <f>'Daily Retun &amp; Risk'!D207</f>
        <v>2.1005866098068537E-2</v>
      </c>
      <c r="E207" s="23">
        <f t="shared" si="10"/>
        <v>1.789041095890411E-4</v>
      </c>
      <c r="F207" s="22">
        <f t="shared" si="11"/>
        <v>2.8325547252817935E-3</v>
      </c>
      <c r="N207" s="26">
        <v>174</v>
      </c>
      <c r="O207" s="26">
        <v>-5.0527408384813885E-3</v>
      </c>
      <c r="P207" s="26">
        <v>-4.2467396718931481E-3</v>
      </c>
      <c r="Q207" s="24"/>
      <c r="R207" s="24"/>
      <c r="S207" s="24"/>
      <c r="T207" s="24"/>
      <c r="U207" s="24"/>
      <c r="V207" s="24"/>
    </row>
    <row r="208" spans="1:22" ht="21" x14ac:dyDescent="0.35">
      <c r="A208" s="18">
        <v>45679</v>
      </c>
      <c r="B208" s="19">
        <v>23155.35</v>
      </c>
      <c r="C208" s="20">
        <f t="shared" si="9"/>
        <v>5.6604741870661156E-3</v>
      </c>
      <c r="D208" s="22">
        <f>'Daily Retun &amp; Risk'!D208</f>
        <v>1.823735621234353E-3</v>
      </c>
      <c r="E208" s="23">
        <f t="shared" si="10"/>
        <v>1.789041095890411E-4</v>
      </c>
      <c r="F208" s="22">
        <f t="shared" si="11"/>
        <v>7.5325265878048581E-3</v>
      </c>
      <c r="N208" s="26">
        <v>175</v>
      </c>
      <c r="O208" s="26">
        <v>9.0700151036976506E-4</v>
      </c>
      <c r="P208" s="26">
        <v>-6.2266977994702953E-3</v>
      </c>
      <c r="Q208" s="24"/>
      <c r="R208" s="24"/>
      <c r="S208" s="24"/>
      <c r="T208" s="24"/>
      <c r="U208" s="24"/>
      <c r="V208" s="24"/>
    </row>
    <row r="209" spans="1:22" ht="21" x14ac:dyDescent="0.35">
      <c r="A209" s="18">
        <v>45678</v>
      </c>
      <c r="B209" s="19">
        <v>23024.65</v>
      </c>
      <c r="C209" s="20">
        <f t="shared" si="9"/>
        <v>-1.3806738277095545E-2</v>
      </c>
      <c r="D209" s="22">
        <f>'Daily Retun &amp; Risk'!D209</f>
        <v>-2.340107483665569E-2</v>
      </c>
      <c r="E209" s="23">
        <f t="shared" si="10"/>
        <v>1.789041095890411E-4</v>
      </c>
      <c r="F209" s="22">
        <f t="shared" si="11"/>
        <v>-1.8583080645396845E-2</v>
      </c>
      <c r="N209" s="26">
        <v>176</v>
      </c>
      <c r="O209" s="26">
        <v>1.2841354547423972E-2</v>
      </c>
      <c r="P209" s="26">
        <v>-7.0633168959925701E-3</v>
      </c>
      <c r="Q209" s="24"/>
      <c r="R209" s="24"/>
      <c r="S209" s="24"/>
      <c r="T209" s="24"/>
      <c r="U209" s="24"/>
      <c r="V209" s="24"/>
    </row>
    <row r="210" spans="1:22" ht="21" x14ac:dyDescent="0.35">
      <c r="A210" s="18">
        <v>45677</v>
      </c>
      <c r="B210" s="19">
        <v>23344.75</v>
      </c>
      <c r="C210" s="20">
        <f t="shared" si="9"/>
        <v>6.0819192391741118E-3</v>
      </c>
      <c r="D210" s="22">
        <f>'Daily Retun &amp; Risk'!D210</f>
        <v>-1.0076823505193473E-2</v>
      </c>
      <c r="E210" s="23">
        <f t="shared" si="10"/>
        <v>1.789041095890411E-4</v>
      </c>
      <c r="F210" s="22">
        <f t="shared" si="11"/>
        <v>8.0979025229312041E-3</v>
      </c>
      <c r="N210" s="26">
        <v>177</v>
      </c>
      <c r="O210" s="26">
        <v>1.5824374974565191E-2</v>
      </c>
      <c r="P210" s="26">
        <v>2.6598113570436437E-2</v>
      </c>
      <c r="Q210" s="24"/>
      <c r="R210" s="24"/>
      <c r="S210" s="24"/>
      <c r="T210" s="24"/>
      <c r="U210" s="24"/>
      <c r="V210" s="24"/>
    </row>
    <row r="211" spans="1:22" ht="21" x14ac:dyDescent="0.35">
      <c r="A211" s="18">
        <v>45674</v>
      </c>
      <c r="B211" s="19">
        <v>23203.200000000001</v>
      </c>
      <c r="C211" s="20">
        <f t="shared" si="9"/>
        <v>-4.6694699484325849E-3</v>
      </c>
      <c r="D211" s="22">
        <f>'Daily Retun &amp; Risk'!D211</f>
        <v>-2.1448952557468367E-2</v>
      </c>
      <c r="E211" s="23">
        <f t="shared" si="10"/>
        <v>1.789041095890411E-4</v>
      </c>
      <c r="F211" s="22">
        <f t="shared" si="11"/>
        <v>-6.3252747938896178E-3</v>
      </c>
      <c r="N211" s="26">
        <v>178</v>
      </c>
      <c r="O211" s="26">
        <v>-1.7816917744883744E-3</v>
      </c>
      <c r="P211" s="26">
        <v>2.3366891572811446E-3</v>
      </c>
      <c r="Q211" s="24"/>
      <c r="R211" s="24"/>
      <c r="S211" s="24"/>
      <c r="T211" s="24"/>
      <c r="U211" s="24"/>
      <c r="V211" s="24"/>
    </row>
    <row r="212" spans="1:22" ht="21" x14ac:dyDescent="0.35">
      <c r="A212" s="18">
        <v>45673</v>
      </c>
      <c r="B212" s="19">
        <v>23311.8</v>
      </c>
      <c r="C212" s="20">
        <f t="shared" si="9"/>
        <v>4.2385877535739327E-3</v>
      </c>
      <c r="D212" s="22">
        <f>'Daily Retun &amp; Risk'!D212</f>
        <v>6.8508983036261427E-3</v>
      </c>
      <c r="E212" s="23">
        <f t="shared" si="10"/>
        <v>1.789041095890411E-4</v>
      </c>
      <c r="F212" s="22">
        <f t="shared" si="11"/>
        <v>5.6250409785703077E-3</v>
      </c>
      <c r="N212" s="26">
        <v>179</v>
      </c>
      <c r="O212" s="26">
        <v>1.1547881344960089E-4</v>
      </c>
      <c r="P212" s="26">
        <v>1.0198255096954484E-2</v>
      </c>
      <c r="Q212" s="24"/>
      <c r="R212" s="24"/>
      <c r="S212" s="24"/>
      <c r="T212" s="24"/>
      <c r="U212" s="24"/>
      <c r="V212" s="24"/>
    </row>
    <row r="213" spans="1:22" ht="21" x14ac:dyDescent="0.35">
      <c r="A213" s="18">
        <v>45672</v>
      </c>
      <c r="B213" s="19">
        <v>23213.200000000001</v>
      </c>
      <c r="C213" s="20">
        <f t="shared" si="9"/>
        <v>1.6016645210618786E-3</v>
      </c>
      <c r="D213" s="22">
        <f>'Daily Retun &amp; Risk'!D213</f>
        <v>-2.9703918525444826E-2</v>
      </c>
      <c r="E213" s="23">
        <f t="shared" si="10"/>
        <v>1.789041095890411E-4</v>
      </c>
      <c r="F213" s="22">
        <f t="shared" si="11"/>
        <v>2.0875621756257785E-3</v>
      </c>
      <c r="N213" s="26">
        <v>180</v>
      </c>
      <c r="O213" s="26">
        <v>-2.480562082181784E-2</v>
      </c>
      <c r="P213" s="26">
        <v>-2.8467260991568853E-2</v>
      </c>
      <c r="Q213" s="24"/>
      <c r="R213" s="24"/>
      <c r="S213" s="24"/>
      <c r="T213" s="24"/>
      <c r="U213" s="24"/>
      <c r="V213" s="24"/>
    </row>
    <row r="214" spans="1:22" ht="21" x14ac:dyDescent="0.35">
      <c r="A214" s="18">
        <v>45671</v>
      </c>
      <c r="B214" s="19">
        <v>23176.05</v>
      </c>
      <c r="C214" s="20">
        <f t="shared" si="9"/>
        <v>3.8952104933376291E-3</v>
      </c>
      <c r="D214" s="22">
        <f>'Daily Retun &amp; Risk'!D214</f>
        <v>1.6482027559015823E-2</v>
      </c>
      <c r="E214" s="23">
        <f t="shared" si="10"/>
        <v>1.789041095890411E-4</v>
      </c>
      <c r="F214" s="22">
        <f t="shared" si="11"/>
        <v>5.1643943565820288E-3</v>
      </c>
      <c r="N214" s="26">
        <v>181</v>
      </c>
      <c r="O214" s="26">
        <v>2.9419304180302078E-4</v>
      </c>
      <c r="P214" s="26">
        <v>-1.8934366490709724E-2</v>
      </c>
      <c r="Q214" s="24"/>
      <c r="R214" s="24"/>
      <c r="S214" s="24"/>
      <c r="T214" s="24"/>
      <c r="U214" s="24"/>
      <c r="V214" s="24"/>
    </row>
    <row r="215" spans="1:22" ht="21" x14ac:dyDescent="0.35">
      <c r="A215" s="18">
        <v>45670</v>
      </c>
      <c r="B215" s="19">
        <v>23085.95</v>
      </c>
      <c r="C215" s="20">
        <f t="shared" si="9"/>
        <v>-1.4857063581440453E-2</v>
      </c>
      <c r="D215" s="22">
        <f>'Daily Retun &amp; Risk'!D215</f>
        <v>-3.0597380726338334E-2</v>
      </c>
      <c r="E215" s="23">
        <f t="shared" si="10"/>
        <v>1.789041095890411E-4</v>
      </c>
      <c r="F215" s="22">
        <f t="shared" si="11"/>
        <v>-1.9992110477781013E-2</v>
      </c>
      <c r="N215" s="26">
        <v>182</v>
      </c>
      <c r="O215" s="26">
        <v>9.7904690715627004E-5</v>
      </c>
      <c r="P215" s="26">
        <v>2.4925954144659996E-2</v>
      </c>
      <c r="Q215" s="24"/>
      <c r="R215" s="24"/>
      <c r="S215" s="24"/>
      <c r="T215" s="24"/>
      <c r="U215" s="24"/>
      <c r="V215" s="24"/>
    </row>
    <row r="216" spans="1:22" ht="21" x14ac:dyDescent="0.35">
      <c r="A216" s="18">
        <v>45667</v>
      </c>
      <c r="B216" s="19">
        <v>23431.5</v>
      </c>
      <c r="C216" s="20">
        <f t="shared" si="9"/>
        <v>-4.0461744370668276E-3</v>
      </c>
      <c r="D216" s="22">
        <f>'Daily Retun &amp; Risk'!D216</f>
        <v>-1.0821172103519046E-2</v>
      </c>
      <c r="E216" s="23">
        <f t="shared" si="10"/>
        <v>1.789041095890411E-4</v>
      </c>
      <c r="F216" s="22">
        <f t="shared" si="11"/>
        <v>-5.4891129245407122E-3</v>
      </c>
      <c r="N216" s="26">
        <v>183</v>
      </c>
      <c r="O216" s="26">
        <v>-1.3907378224378821E-2</v>
      </c>
      <c r="P216" s="26">
        <v>2.8725769501429067E-2</v>
      </c>
      <c r="Q216" s="24"/>
      <c r="R216" s="24"/>
      <c r="S216" s="24"/>
      <c r="T216" s="24"/>
      <c r="U216" s="24"/>
      <c r="V216" s="24"/>
    </row>
    <row r="217" spans="1:22" ht="21" x14ac:dyDescent="0.35">
      <c r="A217" s="18">
        <v>45666</v>
      </c>
      <c r="B217" s="19">
        <v>23526.5</v>
      </c>
      <c r="C217" s="20">
        <f t="shared" si="9"/>
        <v>-6.8812492953755225E-3</v>
      </c>
      <c r="D217" s="22">
        <f>'Daily Retun &amp; Risk'!D217</f>
        <v>1.3006010202258627E-2</v>
      </c>
      <c r="E217" s="23">
        <f t="shared" si="10"/>
        <v>1.789041095890411E-4</v>
      </c>
      <c r="F217" s="22">
        <f t="shared" si="11"/>
        <v>-9.2924156116932187E-3</v>
      </c>
      <c r="N217" s="26">
        <v>184</v>
      </c>
      <c r="O217" s="26">
        <v>-6.4394247131372827E-3</v>
      </c>
      <c r="P217" s="26">
        <v>-5.5335949651683848E-2</v>
      </c>
      <c r="Q217" s="24"/>
      <c r="R217" s="24"/>
      <c r="S217" s="24"/>
      <c r="T217" s="24"/>
      <c r="U217" s="24"/>
      <c r="V217" s="24"/>
    </row>
    <row r="218" spans="1:22" ht="21" x14ac:dyDescent="0.35">
      <c r="A218" s="18">
        <v>45665</v>
      </c>
      <c r="B218" s="19">
        <v>23688.95</v>
      </c>
      <c r="C218" s="20">
        <f t="shared" si="9"/>
        <v>-7.9963124172743882E-4</v>
      </c>
      <c r="D218" s="22">
        <f>'Daily Retun &amp; Risk'!D218</f>
        <v>-7.3447250649677767E-3</v>
      </c>
      <c r="E218" s="23">
        <f t="shared" si="10"/>
        <v>1.789041095890411E-4</v>
      </c>
      <c r="F218" s="22">
        <f t="shared" si="11"/>
        <v>-1.1338182406616698E-3</v>
      </c>
      <c r="N218" s="26">
        <v>185</v>
      </c>
      <c r="O218" s="26">
        <v>-7.128791510846496E-4</v>
      </c>
      <c r="P218" s="26">
        <v>3.0035043842075608E-2</v>
      </c>
      <c r="Q218" s="24"/>
      <c r="R218" s="24"/>
      <c r="S218" s="24"/>
      <c r="T218" s="24"/>
      <c r="U218" s="24"/>
      <c r="V218" s="24"/>
    </row>
    <row r="219" spans="1:22" ht="21" x14ac:dyDescent="0.35">
      <c r="A219" s="18">
        <v>45664</v>
      </c>
      <c r="B219" s="19">
        <v>23707.9</v>
      </c>
      <c r="C219" s="20">
        <f t="shared" si="9"/>
        <v>3.8817603067130878E-3</v>
      </c>
      <c r="D219" s="22">
        <f>'Daily Retun &amp; Risk'!D219</f>
        <v>1.0137500767612572E-3</v>
      </c>
      <c r="E219" s="23">
        <f t="shared" si="10"/>
        <v>1.789041095890411E-4</v>
      </c>
      <c r="F219" s="22">
        <f t="shared" si="11"/>
        <v>5.1463506951309381E-3</v>
      </c>
      <c r="N219" s="26">
        <v>186</v>
      </c>
      <c r="O219" s="26">
        <v>-2.8222864105693576E-4</v>
      </c>
      <c r="P219" s="26">
        <v>-1.148908142319735E-2</v>
      </c>
      <c r="Q219" s="24"/>
      <c r="R219" s="24"/>
      <c r="S219" s="24"/>
      <c r="T219" s="24"/>
      <c r="U219" s="24"/>
      <c r="V219" s="24"/>
    </row>
    <row r="220" spans="1:22" ht="21" x14ac:dyDescent="0.35">
      <c r="A220" s="18">
        <v>45663</v>
      </c>
      <c r="B220" s="19">
        <v>23616.05</v>
      </c>
      <c r="C220" s="20">
        <f t="shared" si="9"/>
        <v>-1.6325161807199819E-2</v>
      </c>
      <c r="D220" s="22">
        <f>'Daily Retun &amp; Risk'!D220</f>
        <v>-2.6954182917143351E-2</v>
      </c>
      <c r="E220" s="23">
        <f t="shared" si="10"/>
        <v>1.789041095890411E-4</v>
      </c>
      <c r="F220" s="22">
        <f t="shared" si="11"/>
        <v>-2.1961590017508373E-2</v>
      </c>
      <c r="N220" s="26">
        <v>187</v>
      </c>
      <c r="O220" s="26">
        <v>-3.8701450206697044E-4</v>
      </c>
      <c r="P220" s="26">
        <v>-1.4518988986670948E-2</v>
      </c>
      <c r="Q220" s="24"/>
      <c r="R220" s="24"/>
      <c r="S220" s="24"/>
      <c r="T220" s="24"/>
      <c r="U220" s="24"/>
      <c r="V220" s="24"/>
    </row>
    <row r="221" spans="1:22" ht="21" x14ac:dyDescent="0.35">
      <c r="A221" s="18">
        <v>45660</v>
      </c>
      <c r="B221" s="19">
        <v>24004.75</v>
      </c>
      <c r="C221" s="20">
        <f t="shared" si="9"/>
        <v>-7.6317874477081537E-3</v>
      </c>
      <c r="D221" s="22">
        <f>'Daily Retun &amp; Risk'!D221</f>
        <v>-6.4202418402612036E-3</v>
      </c>
      <c r="E221" s="23">
        <f t="shared" si="10"/>
        <v>1.789041095890411E-4</v>
      </c>
      <c r="F221" s="22">
        <f t="shared" si="11"/>
        <v>-1.0299275717418992E-2</v>
      </c>
      <c r="N221" s="26">
        <v>188</v>
      </c>
      <c r="O221" s="26">
        <v>2.2116094005834794E-3</v>
      </c>
      <c r="P221" s="26">
        <v>-4.053963337390927E-2</v>
      </c>
      <c r="Q221" s="24"/>
      <c r="R221" s="24"/>
      <c r="S221" s="24"/>
      <c r="T221" s="24"/>
      <c r="U221" s="24"/>
      <c r="V221" s="24"/>
    </row>
    <row r="222" spans="1:22" ht="21" x14ac:dyDescent="0.35">
      <c r="A222" s="18">
        <v>45659</v>
      </c>
      <c r="B222" s="19">
        <v>24188.65</v>
      </c>
      <c r="C222" s="20">
        <f t="shared" si="9"/>
        <v>1.8599976460843735E-2</v>
      </c>
      <c r="D222" s="22">
        <f>'Daily Retun &amp; Risk'!D222</f>
        <v>4.1034820670644151E-2</v>
      </c>
      <c r="E222" s="23">
        <f t="shared" si="10"/>
        <v>1.789041095890411E-4</v>
      </c>
      <c r="F222" s="22">
        <f t="shared" si="11"/>
        <v>2.4891096018184219E-2</v>
      </c>
      <c r="N222" s="26">
        <v>189</v>
      </c>
      <c r="O222" s="26">
        <v>-5.5202542294054083E-3</v>
      </c>
      <c r="P222" s="26">
        <v>-6.4381357507023E-3</v>
      </c>
      <c r="Q222" s="24"/>
      <c r="R222" s="24"/>
      <c r="S222" s="24"/>
      <c r="T222" s="24"/>
      <c r="U222" s="24"/>
      <c r="V222" s="24"/>
    </row>
    <row r="223" spans="1:22" ht="21" x14ac:dyDescent="0.35">
      <c r="A223" s="18">
        <v>45658</v>
      </c>
      <c r="B223" s="19">
        <v>23742.9</v>
      </c>
      <c r="C223" s="20">
        <f t="shared" si="9"/>
        <v>4.1403208063656048E-3</v>
      </c>
      <c r="D223" s="22">
        <f>'Daily Retun &amp; Risk'!D223</f>
        <v>2.460257770787723E-2</v>
      </c>
      <c r="E223" s="23">
        <f t="shared" si="10"/>
        <v>1.789041095890411E-4</v>
      </c>
      <c r="F223" s="22">
        <f t="shared" si="11"/>
        <v>5.4932141439876531E-3</v>
      </c>
      <c r="N223" s="26">
        <v>190</v>
      </c>
      <c r="O223" s="26">
        <v>-3.6353860203239524E-4</v>
      </c>
      <c r="P223" s="26">
        <v>-2.7210209414714366E-3</v>
      </c>
      <c r="Q223" s="24"/>
      <c r="R223" s="24"/>
      <c r="S223" s="24"/>
      <c r="T223" s="24"/>
      <c r="U223" s="24"/>
      <c r="V223" s="24"/>
    </row>
    <row r="224" spans="1:22" ht="21" x14ac:dyDescent="0.35">
      <c r="A224" s="18">
        <v>45657</v>
      </c>
      <c r="B224" s="19">
        <v>23644.799999999999</v>
      </c>
      <c r="C224" s="20">
        <f t="shared" si="9"/>
        <v>-4.229250767129392E-6</v>
      </c>
      <c r="D224" s="22">
        <f>'Daily Retun &amp; Risk'!D224</f>
        <v>1.3976707766119971E-3</v>
      </c>
      <c r="E224" s="23">
        <f t="shared" si="10"/>
        <v>1.789041095890411E-4</v>
      </c>
      <c r="F224" s="22">
        <f t="shared" si="11"/>
        <v>-6.6772507911424443E-5</v>
      </c>
      <c r="N224" s="26">
        <v>191</v>
      </c>
      <c r="O224" s="26">
        <v>-1.1017031352727634E-3</v>
      </c>
      <c r="P224" s="26">
        <v>-3.1421354665618406E-2</v>
      </c>
      <c r="Q224" s="24"/>
      <c r="R224" s="24"/>
      <c r="S224" s="24"/>
      <c r="T224" s="24"/>
      <c r="U224" s="24"/>
      <c r="V224" s="24"/>
    </row>
    <row r="225" spans="1:22" ht="21" x14ac:dyDescent="0.35">
      <c r="A225" s="18">
        <v>45656</v>
      </c>
      <c r="B225" s="19">
        <v>23644.9</v>
      </c>
      <c r="C225" s="20">
        <f t="shared" si="9"/>
        <v>-7.1010005853283714E-3</v>
      </c>
      <c r="D225" s="22">
        <f>'Daily Retun &amp; Risk'!D225</f>
        <v>-1.5382758076007837E-2</v>
      </c>
      <c r="E225" s="23">
        <f t="shared" si="10"/>
        <v>1.789041095890411E-4</v>
      </c>
      <c r="F225" s="22">
        <f t="shared" si="11"/>
        <v>-9.5872158245107024E-3</v>
      </c>
      <c r="N225" s="26">
        <v>192</v>
      </c>
      <c r="O225" s="26">
        <v>-1.7450613378442521E-2</v>
      </c>
      <c r="P225" s="26">
        <v>9.6354497637428718E-4</v>
      </c>
      <c r="Q225" s="24"/>
      <c r="R225" s="24"/>
      <c r="S225" s="24"/>
      <c r="T225" s="24"/>
      <c r="U225" s="24"/>
      <c r="V225" s="24"/>
    </row>
    <row r="226" spans="1:22" ht="21" x14ac:dyDescent="0.35">
      <c r="A226" s="18">
        <v>45653</v>
      </c>
      <c r="B226" s="19">
        <v>23813.4</v>
      </c>
      <c r="C226" s="20">
        <f t="shared" si="9"/>
        <v>2.6574959504618452E-3</v>
      </c>
      <c r="D226" s="22">
        <f>'Daily Retun &amp; Risk'!D226</f>
        <v>2.4498743961786359E-2</v>
      </c>
      <c r="E226" s="23">
        <f t="shared" si="10"/>
        <v>1.789041095890411E-4</v>
      </c>
      <c r="F226" s="22">
        <f t="shared" si="11"/>
        <v>3.5039785714216058E-3</v>
      </c>
      <c r="N226" s="26">
        <v>193</v>
      </c>
      <c r="O226" s="26">
        <v>-9.7510438990510515E-3</v>
      </c>
      <c r="P226" s="26">
        <v>-9.5686535508840171E-3</v>
      </c>
      <c r="Q226" s="24"/>
      <c r="R226" s="24"/>
      <c r="S226" s="24"/>
      <c r="T226" s="24"/>
      <c r="U226" s="24"/>
      <c r="V226" s="24"/>
    </row>
    <row r="227" spans="1:22" ht="21" x14ac:dyDescent="0.35">
      <c r="A227" s="18">
        <v>45652</v>
      </c>
      <c r="B227" s="19">
        <v>23750.2</v>
      </c>
      <c r="C227" s="20">
        <f t="shared" si="9"/>
        <v>9.4991671677012402E-4</v>
      </c>
      <c r="D227" s="22">
        <f>'Daily Retun &amp; Risk'!D227</f>
        <v>1.5903863963266648E-2</v>
      </c>
      <c r="E227" s="23">
        <f t="shared" si="10"/>
        <v>1.789041095890411E-4</v>
      </c>
      <c r="F227" s="22">
        <f t="shared" si="11"/>
        <v>1.2132310558869023E-3</v>
      </c>
      <c r="N227" s="26">
        <v>194</v>
      </c>
      <c r="O227" s="26">
        <v>-2.0260040006652201E-3</v>
      </c>
      <c r="P227" s="26">
        <v>2.0485445232379169E-2</v>
      </c>
      <c r="Q227" s="24"/>
      <c r="R227" s="24"/>
      <c r="S227" s="24"/>
      <c r="T227" s="24"/>
      <c r="U227" s="24"/>
      <c r="V227" s="24"/>
    </row>
    <row r="228" spans="1:22" ht="21" x14ac:dyDescent="0.35">
      <c r="A228" s="18">
        <v>45650</v>
      </c>
      <c r="B228" s="19">
        <v>23727.65</v>
      </c>
      <c r="C228" s="20">
        <f t="shared" si="9"/>
        <v>-1.0867483078192092E-3</v>
      </c>
      <c r="D228" s="22">
        <f>'Daily Retun &amp; Risk'!D228</f>
        <v>6.6461361459177175E-3</v>
      </c>
      <c r="E228" s="23">
        <f t="shared" si="10"/>
        <v>1.789041095890411E-4</v>
      </c>
      <c r="F228" s="22">
        <f t="shared" si="11"/>
        <v>-1.5189908246567249E-3</v>
      </c>
      <c r="N228" s="26">
        <v>195</v>
      </c>
      <c r="O228" s="26">
        <v>-4.8295773159302523E-3</v>
      </c>
      <c r="P228" s="26">
        <v>-7.4515842117604137E-3</v>
      </c>
      <c r="Q228" s="24"/>
      <c r="R228" s="24"/>
      <c r="S228" s="24"/>
      <c r="T228" s="24"/>
      <c r="U228" s="24"/>
      <c r="V228" s="24"/>
    </row>
    <row r="229" spans="1:22" ht="21" x14ac:dyDescent="0.35">
      <c r="A229" s="18">
        <v>45649</v>
      </c>
      <c r="B229" s="19">
        <v>23753.45</v>
      </c>
      <c r="C229" s="20">
        <f t="shared" si="9"/>
        <v>7.0108723942055237E-3</v>
      </c>
      <c r="D229" s="22">
        <f>'Daily Retun &amp; Risk'!D229</f>
        <v>1.0145040547544543E-3</v>
      </c>
      <c r="E229" s="23">
        <f t="shared" si="10"/>
        <v>1.789041095890411E-4</v>
      </c>
      <c r="F229" s="22">
        <f t="shared" si="11"/>
        <v>9.344109486537619E-3</v>
      </c>
      <c r="N229" s="26">
        <v>196</v>
      </c>
      <c r="O229" s="26">
        <v>-1.9863810092556012E-3</v>
      </c>
      <c r="P229" s="26">
        <v>-1.2486480377657998E-3</v>
      </c>
      <c r="Q229" s="24"/>
      <c r="R229" s="24"/>
      <c r="S229" s="24"/>
      <c r="T229" s="24"/>
      <c r="U229" s="24"/>
      <c r="V229" s="24"/>
    </row>
    <row r="230" spans="1:22" ht="21" x14ac:dyDescent="0.35">
      <c r="A230" s="18">
        <v>45646</v>
      </c>
      <c r="B230" s="19">
        <v>23587.5</v>
      </c>
      <c r="C230" s="20">
        <f t="shared" si="9"/>
        <v>-1.5322391854064712E-2</v>
      </c>
      <c r="D230" s="22">
        <f>'Daily Retun &amp; Risk'!D230</f>
        <v>-3.658573884141348E-2</v>
      </c>
      <c r="E230" s="23">
        <f t="shared" si="10"/>
        <v>1.789041095890411E-4</v>
      </c>
      <c r="F230" s="22">
        <f t="shared" si="11"/>
        <v>-2.0616356523522349E-2</v>
      </c>
      <c r="N230" s="26">
        <v>197</v>
      </c>
      <c r="O230" s="26">
        <v>2.1987301629472579E-2</v>
      </c>
      <c r="P230" s="26">
        <v>-1.7036290706572973E-2</v>
      </c>
      <c r="Q230" s="24"/>
      <c r="R230" s="24"/>
      <c r="S230" s="24"/>
      <c r="T230" s="24"/>
      <c r="U230" s="24"/>
      <c r="V230" s="24"/>
    </row>
    <row r="231" spans="1:22" ht="21" x14ac:dyDescent="0.35">
      <c r="A231" s="18">
        <v>45645</v>
      </c>
      <c r="B231" s="19">
        <v>23951.7</v>
      </c>
      <c r="C231" s="20">
        <f t="shared" si="9"/>
        <v>-1.0265808823608006E-2</v>
      </c>
      <c r="D231" s="22">
        <f>'Daily Retun &amp; Risk'!D231</f>
        <v>-1.2051218658886434E-2</v>
      </c>
      <c r="E231" s="23">
        <f t="shared" si="10"/>
        <v>1.789041095890411E-4</v>
      </c>
      <c r="F231" s="22">
        <f t="shared" si="11"/>
        <v>-1.3832861628781288E-2</v>
      </c>
      <c r="N231" s="26">
        <v>198</v>
      </c>
      <c r="O231" s="26">
        <v>-6.4933083084465614E-3</v>
      </c>
      <c r="P231" s="26">
        <v>3.7391519116451673E-2</v>
      </c>
      <c r="Q231" s="24"/>
      <c r="R231" s="24"/>
      <c r="S231" s="24"/>
      <c r="T231" s="24"/>
      <c r="U231" s="24"/>
      <c r="V231" s="24"/>
    </row>
    <row r="232" spans="1:22" ht="21" x14ac:dyDescent="0.35">
      <c r="A232" s="18">
        <v>45644</v>
      </c>
      <c r="B232" s="19">
        <v>24198.85</v>
      </c>
      <c r="C232" s="20">
        <f t="shared" si="9"/>
        <v>-5.6516241445957781E-3</v>
      </c>
      <c r="D232" s="22">
        <f>'Daily Retun &amp; Risk'!D232</f>
        <v>3.1841410853944738E-3</v>
      </c>
      <c r="E232" s="23">
        <f t="shared" si="10"/>
        <v>1.789041095890411E-4</v>
      </c>
      <c r="F232" s="22">
        <f t="shared" si="11"/>
        <v>-7.6428518880246217E-3</v>
      </c>
      <c r="N232" s="26">
        <v>199</v>
      </c>
      <c r="O232" s="26">
        <v>-1.0558607107413109E-3</v>
      </c>
      <c r="P232" s="26">
        <v>2.970648686095274E-2</v>
      </c>
      <c r="Q232" s="24"/>
      <c r="R232" s="24"/>
      <c r="S232" s="24"/>
      <c r="T232" s="24"/>
      <c r="U232" s="24"/>
      <c r="V232" s="24"/>
    </row>
    <row r="233" spans="1:22" ht="21" x14ac:dyDescent="0.35">
      <c r="A233" s="18">
        <v>45643</v>
      </c>
      <c r="B233" s="19">
        <v>24336</v>
      </c>
      <c r="C233" s="20">
        <f t="shared" si="9"/>
        <v>-1.3560256148274351E-2</v>
      </c>
      <c r="D233" s="22">
        <f>'Daily Retun &amp; Risk'!D233</f>
        <v>-1.4152219030334074E-2</v>
      </c>
      <c r="E233" s="23">
        <f t="shared" si="10"/>
        <v>1.789041095890411E-4</v>
      </c>
      <c r="F233" s="22">
        <f t="shared" si="11"/>
        <v>-1.8252420543024818E-2</v>
      </c>
      <c r="N233" s="26">
        <v>200</v>
      </c>
      <c r="O233" s="26">
        <v>1.529914817435183E-2</v>
      </c>
      <c r="P233" s="26">
        <v>-9.1259784186717308E-3</v>
      </c>
      <c r="Q233" s="24"/>
      <c r="R233" s="24"/>
      <c r="S233" s="24"/>
      <c r="T233" s="24"/>
      <c r="U233" s="24"/>
      <c r="V233" s="24"/>
    </row>
    <row r="234" spans="1:22" ht="21" x14ac:dyDescent="0.35">
      <c r="A234" s="18">
        <v>45642</v>
      </c>
      <c r="B234" s="19">
        <v>24668.25</v>
      </c>
      <c r="C234" s="20">
        <f t="shared" si="9"/>
        <v>-4.0476180718514044E-3</v>
      </c>
      <c r="D234" s="22">
        <f>'Daily Retun &amp; Risk'!D234</f>
        <v>1.1189946434193936E-3</v>
      </c>
      <c r="E234" s="23">
        <f t="shared" si="10"/>
        <v>1.789041095890411E-4</v>
      </c>
      <c r="F234" s="22">
        <f t="shared" si="11"/>
        <v>-5.4910495859446812E-3</v>
      </c>
      <c r="N234" s="26">
        <v>201</v>
      </c>
      <c r="O234" s="26">
        <v>5.4375903220604789E-3</v>
      </c>
      <c r="P234" s="26">
        <v>1.054022507577591E-2</v>
      </c>
      <c r="Q234" s="24"/>
      <c r="R234" s="24"/>
      <c r="S234" s="24"/>
      <c r="T234" s="24"/>
      <c r="U234" s="24"/>
      <c r="V234" s="24"/>
    </row>
    <row r="235" spans="1:22" ht="21" x14ac:dyDescent="0.35">
      <c r="A235" s="18">
        <v>45639</v>
      </c>
      <c r="B235" s="19">
        <v>24768.3</v>
      </c>
      <c r="C235" s="20">
        <f t="shared" si="9"/>
        <v>8.9057100554239786E-3</v>
      </c>
      <c r="D235" s="22">
        <f>'Daily Retun &amp; Risk'!D235</f>
        <v>4.5374416139537634E-3</v>
      </c>
      <c r="E235" s="23">
        <f t="shared" si="10"/>
        <v>1.789041095890411E-4</v>
      </c>
      <c r="F235" s="22">
        <f t="shared" si="11"/>
        <v>1.1886067469590367E-2</v>
      </c>
      <c r="N235" s="26">
        <v>202</v>
      </c>
      <c r="O235" s="26">
        <v>1.2418275171790876E-2</v>
      </c>
      <c r="P235" s="26">
        <v>6.1328914396472679E-3</v>
      </c>
      <c r="Q235" s="24"/>
      <c r="R235" s="24"/>
      <c r="S235" s="24"/>
      <c r="T235" s="24"/>
      <c r="U235" s="24"/>
      <c r="V235" s="24"/>
    </row>
    <row r="236" spans="1:22" ht="21" x14ac:dyDescent="0.35">
      <c r="A236" s="18">
        <v>45638</v>
      </c>
      <c r="B236" s="19">
        <v>24548.7</v>
      </c>
      <c r="C236" s="20">
        <f t="shared" si="9"/>
        <v>-3.7852882635684751E-3</v>
      </c>
      <c r="D236" s="22">
        <f>'Daily Retun &amp; Risk'!D236</f>
        <v>-1.4984936430553161E-3</v>
      </c>
      <c r="E236" s="23">
        <f t="shared" si="10"/>
        <v>1.789041095890411E-4</v>
      </c>
      <c r="F236" s="22">
        <f t="shared" si="11"/>
        <v>-5.139129543396714E-3</v>
      </c>
      <c r="N236" s="26">
        <v>203</v>
      </c>
      <c r="O236" s="26">
        <v>7.9494899293028314E-3</v>
      </c>
      <c r="P236" s="26">
        <v>5.7296543079428906E-3</v>
      </c>
      <c r="Q236" s="24"/>
      <c r="R236" s="24"/>
      <c r="S236" s="24"/>
      <c r="T236" s="24"/>
      <c r="U236" s="24"/>
      <c r="V236" s="24"/>
    </row>
    <row r="237" spans="1:22" ht="21" x14ac:dyDescent="0.35">
      <c r="A237" s="18">
        <v>45637</v>
      </c>
      <c r="B237" s="19">
        <v>24641.8</v>
      </c>
      <c r="C237" s="20">
        <f t="shared" si="9"/>
        <v>1.2892918498735822E-3</v>
      </c>
      <c r="D237" s="22">
        <f>'Daily Retun &amp; Risk'!D237</f>
        <v>1.6778117456981438E-3</v>
      </c>
      <c r="E237" s="23">
        <f t="shared" si="10"/>
        <v>1.789041095890411E-4</v>
      </c>
      <c r="F237" s="22">
        <f t="shared" si="11"/>
        <v>1.6685087540761966E-3</v>
      </c>
      <c r="N237" s="26">
        <v>204</v>
      </c>
      <c r="O237" s="26">
        <v>-1.4926379500876783E-2</v>
      </c>
      <c r="P237" s="26">
        <v>2.564901019596454E-2</v>
      </c>
      <c r="Q237" s="24"/>
      <c r="R237" s="24"/>
      <c r="S237" s="24"/>
      <c r="T237" s="24"/>
      <c r="U237" s="24"/>
      <c r="V237" s="24"/>
    </row>
    <row r="238" spans="1:22" ht="21" x14ac:dyDescent="0.35">
      <c r="A238" s="18">
        <v>45636</v>
      </c>
      <c r="B238" s="19">
        <v>24610.05</v>
      </c>
      <c r="C238" s="20">
        <f t="shared" si="9"/>
        <v>-3.6360645182499104E-4</v>
      </c>
      <c r="D238" s="22">
        <f>'Daily Retun &amp; Risk'!D238</f>
        <v>5.1159367239082361E-3</v>
      </c>
      <c r="E238" s="23">
        <f t="shared" si="10"/>
        <v>1.789041095890411E-4</v>
      </c>
      <c r="F238" s="22">
        <f t="shared" si="11"/>
        <v>-5.4888333136252337E-4</v>
      </c>
      <c r="N238" s="26">
        <v>205</v>
      </c>
      <c r="O238" s="26">
        <v>-6.1143361558614997E-3</v>
      </c>
      <c r="P238" s="26">
        <v>-2.3793744973869751E-2</v>
      </c>
      <c r="Q238" s="24"/>
      <c r="R238" s="24"/>
      <c r="S238" s="24"/>
      <c r="T238" s="24"/>
      <c r="U238" s="24"/>
      <c r="V238" s="24"/>
    </row>
    <row r="239" spans="1:22" ht="21" x14ac:dyDescent="0.35">
      <c r="A239" s="18">
        <v>45635</v>
      </c>
      <c r="B239" s="19">
        <v>24619</v>
      </c>
      <c r="C239" s="20">
        <f t="shared" si="9"/>
        <v>-2.3855515118706054E-3</v>
      </c>
      <c r="D239" s="22">
        <f>'Daily Retun &amp; Risk'!D239</f>
        <v>-7.1029404233147794E-3</v>
      </c>
      <c r="E239" s="23">
        <f t="shared" si="10"/>
        <v>1.789041095890411E-4</v>
      </c>
      <c r="F239" s="22">
        <f t="shared" si="11"/>
        <v>-3.261358121087775E-3</v>
      </c>
      <c r="N239" s="26">
        <v>206</v>
      </c>
      <c r="O239" s="26">
        <v>3.3365980695794469E-3</v>
      </c>
      <c r="P239" s="26">
        <v>1.7669268028489091E-2</v>
      </c>
      <c r="Q239" s="24"/>
      <c r="R239" s="24"/>
      <c r="S239" s="24"/>
      <c r="T239" s="24"/>
      <c r="U239" s="24"/>
      <c r="V239" s="24"/>
    </row>
    <row r="240" spans="1:22" ht="21" x14ac:dyDescent="0.35">
      <c r="A240" s="18">
        <v>45632</v>
      </c>
      <c r="B240" s="19">
        <v>24677.8</v>
      </c>
      <c r="C240" s="20">
        <f t="shared" si="9"/>
        <v>-1.2392127321359235E-3</v>
      </c>
      <c r="D240" s="22">
        <f>'Daily Retun &amp; Risk'!D240</f>
        <v>4.5568467409614358E-4</v>
      </c>
      <c r="E240" s="23">
        <f t="shared" si="10"/>
        <v>1.789041095890411E-4</v>
      </c>
      <c r="F240" s="22">
        <f t="shared" si="11"/>
        <v>-1.72352452612126E-3</v>
      </c>
      <c r="N240" s="26">
        <v>207</v>
      </c>
      <c r="O240" s="26">
        <v>8.0365699321025118E-3</v>
      </c>
      <c r="P240" s="26">
        <v>-6.2128343108681589E-3</v>
      </c>
      <c r="Q240" s="24"/>
      <c r="R240" s="24"/>
      <c r="S240" s="24"/>
      <c r="T240" s="24"/>
      <c r="U240" s="24"/>
      <c r="V240" s="24"/>
    </row>
    <row r="241" spans="1:22" ht="21" x14ac:dyDescent="0.35">
      <c r="A241" s="18">
        <v>45631</v>
      </c>
      <c r="B241" s="19">
        <v>24708.400000000001</v>
      </c>
      <c r="C241" s="20">
        <f t="shared" si="9"/>
        <v>9.7996040025433873E-3</v>
      </c>
      <c r="D241" s="22">
        <f>'Daily Retun &amp; Risk'!D241</f>
        <v>1.3058587919487261E-2</v>
      </c>
      <c r="E241" s="23">
        <f t="shared" si="10"/>
        <v>1.789041095890411E-4</v>
      </c>
      <c r="F241" s="22">
        <f t="shared" si="11"/>
        <v>1.3085241890380362E-2</v>
      </c>
      <c r="N241" s="26">
        <v>208</v>
      </c>
      <c r="O241" s="26">
        <v>-1.8079037301099193E-2</v>
      </c>
      <c r="P241" s="26">
        <v>-5.3220375355564967E-3</v>
      </c>
      <c r="Q241" s="24"/>
      <c r="R241" s="24"/>
      <c r="S241" s="24"/>
      <c r="T241" s="24"/>
      <c r="U241" s="24"/>
      <c r="V241" s="24"/>
    </row>
    <row r="242" spans="1:22" ht="21" x14ac:dyDescent="0.35">
      <c r="A242" s="18">
        <v>45630</v>
      </c>
      <c r="B242" s="19">
        <v>24467.45</v>
      </c>
      <c r="C242" s="20">
        <f t="shared" si="9"/>
        <v>4.2105608026115151E-4</v>
      </c>
      <c r="D242" s="22">
        <f>'Daily Retun &amp; Risk'!D242</f>
        <v>1.4688773983084166E-3</v>
      </c>
      <c r="E242" s="23">
        <f t="shared" si="10"/>
        <v>1.789041095890411E-4</v>
      </c>
      <c r="F242" s="22">
        <f t="shared" si="11"/>
        <v>5.0375522879579637E-4</v>
      </c>
      <c r="N242" s="26">
        <v>209</v>
      </c>
      <c r="O242" s="26">
        <v>8.6019458672288579E-3</v>
      </c>
      <c r="P242" s="26">
        <v>-1.867876937242233E-2</v>
      </c>
      <c r="Q242" s="24"/>
      <c r="R242" s="24"/>
      <c r="S242" s="24"/>
      <c r="T242" s="24"/>
      <c r="U242" s="24"/>
      <c r="V242" s="24"/>
    </row>
    <row r="243" spans="1:22" ht="21" x14ac:dyDescent="0.35">
      <c r="A243" s="18">
        <v>45629</v>
      </c>
      <c r="B243" s="19">
        <v>24457.15</v>
      </c>
      <c r="C243" s="20">
        <f t="shared" si="9"/>
        <v>7.4323390894845123E-3</v>
      </c>
      <c r="D243" s="22">
        <f>'Daily Retun &amp; Risk'!D243</f>
        <v>3.6070658101009165E-3</v>
      </c>
      <c r="E243" s="23">
        <f t="shared" si="10"/>
        <v>1.789041095890411E-4</v>
      </c>
      <c r="F243" s="22">
        <f t="shared" si="11"/>
        <v>9.9095144563577601E-3</v>
      </c>
      <c r="N243" s="26">
        <v>210</v>
      </c>
      <c r="O243" s="26">
        <v>-5.821231449591964E-3</v>
      </c>
      <c r="P243" s="26">
        <v>-1.5627721107876403E-2</v>
      </c>
      <c r="Q243" s="24"/>
      <c r="R243" s="24"/>
      <c r="S243" s="24"/>
      <c r="T243" s="24"/>
      <c r="U243" s="24"/>
      <c r="V243" s="24"/>
    </row>
    <row r="244" spans="1:22" ht="21" x14ac:dyDescent="0.35">
      <c r="A244" s="18">
        <v>45628</v>
      </c>
      <c r="B244" s="19">
        <v>24276.05</v>
      </c>
      <c r="C244" s="20">
        <f t="shared" si="9"/>
        <v>5.988802614002176E-3</v>
      </c>
      <c r="D244" s="22">
        <f>'Daily Retun &amp; Risk'!D244</f>
        <v>1.6816108757295015E-2</v>
      </c>
      <c r="E244" s="23">
        <f t="shared" si="10"/>
        <v>1.789041095890411E-4</v>
      </c>
      <c r="F244" s="22">
        <f t="shared" si="11"/>
        <v>7.9729849357651743E-3</v>
      </c>
      <c r="N244" s="26">
        <v>211</v>
      </c>
      <c r="O244" s="26">
        <v>6.1290843228679615E-3</v>
      </c>
      <c r="P244" s="26">
        <v>7.2181398075818123E-4</v>
      </c>
      <c r="Q244" s="24"/>
      <c r="R244" s="24"/>
      <c r="S244" s="24"/>
      <c r="T244" s="24"/>
      <c r="U244" s="24"/>
      <c r="V244" s="24"/>
    </row>
    <row r="245" spans="1:22" ht="21" x14ac:dyDescent="0.35">
      <c r="A245" s="18">
        <v>45625</v>
      </c>
      <c r="B245" s="19">
        <v>24131.1</v>
      </c>
      <c r="C245" s="20">
        <f t="shared" si="9"/>
        <v>9.0311310507838367E-3</v>
      </c>
      <c r="D245" s="22">
        <f>'Daily Retun &amp; Risk'!D245</f>
        <v>2.2985597964362014E-2</v>
      </c>
      <c r="E245" s="23">
        <f t="shared" si="10"/>
        <v>1.789041095890411E-4</v>
      </c>
      <c r="F245" s="22">
        <f t="shared" si="11"/>
        <v>1.2054321936409653E-2</v>
      </c>
      <c r="N245" s="26">
        <v>212</v>
      </c>
      <c r="O245" s="26">
        <v>2.5916055199234319E-3</v>
      </c>
      <c r="P245" s="26">
        <v>-3.2295524045368257E-2</v>
      </c>
      <c r="Q245" s="24"/>
      <c r="R245" s="24"/>
      <c r="S245" s="24"/>
      <c r="T245" s="24"/>
      <c r="U245" s="24"/>
      <c r="V245" s="24"/>
    </row>
    <row r="246" spans="1:22" ht="21" x14ac:dyDescent="0.35">
      <c r="A246" s="18">
        <v>45624</v>
      </c>
      <c r="B246" s="19">
        <v>23914.15</v>
      </c>
      <c r="C246" s="20">
        <f t="shared" si="9"/>
        <v>-1.4972560750343969E-2</v>
      </c>
      <c r="D246" s="22">
        <f>'Daily Retun &amp; Risk'!D246</f>
        <v>-3.5948649407108964E-2</v>
      </c>
      <c r="E246" s="23">
        <f t="shared" si="10"/>
        <v>1.789041095890411E-4</v>
      </c>
      <c r="F246" s="22">
        <f t="shared" si="11"/>
        <v>-2.014705195721387E-2</v>
      </c>
      <c r="N246" s="26">
        <v>213</v>
      </c>
      <c r="O246" s="26">
        <v>5.6684377008796825E-3</v>
      </c>
      <c r="P246" s="26">
        <v>1.081358985813614E-2</v>
      </c>
      <c r="Q246" s="24"/>
      <c r="R246" s="24"/>
      <c r="S246" s="24"/>
      <c r="T246" s="24"/>
      <c r="U246" s="24"/>
      <c r="V246" s="24"/>
    </row>
    <row r="247" spans="1:22" ht="21" x14ac:dyDescent="0.35">
      <c r="A247" s="18">
        <v>45623</v>
      </c>
      <c r="B247" s="19">
        <v>24274.9</v>
      </c>
      <c r="C247" s="20">
        <f t="shared" si="9"/>
        <v>3.3175600994260466E-3</v>
      </c>
      <c r="D247" s="22">
        <f>'Daily Retun &amp; Risk'!D247</f>
        <v>6.5442637567114841E-3</v>
      </c>
      <c r="E247" s="23">
        <f t="shared" si="10"/>
        <v>1.789041095890411E-4</v>
      </c>
      <c r="F247" s="22">
        <f t="shared" si="11"/>
        <v>4.3894662135173096E-3</v>
      </c>
      <c r="N247" s="26">
        <v>214</v>
      </c>
      <c r="O247" s="26">
        <v>-1.9488067133483358E-2</v>
      </c>
      <c r="P247" s="26">
        <v>-1.1109313592854976E-2</v>
      </c>
      <c r="Q247" s="24"/>
      <c r="R247" s="24"/>
      <c r="S247" s="24"/>
      <c r="T247" s="24"/>
      <c r="U247" s="24"/>
      <c r="V247" s="24"/>
    </row>
    <row r="248" spans="1:22" ht="21" x14ac:dyDescent="0.35">
      <c r="A248" s="18">
        <v>45622</v>
      </c>
      <c r="B248" s="19">
        <v>24194.5</v>
      </c>
      <c r="C248" s="20">
        <f t="shared" si="9"/>
        <v>-1.1318480070857482E-3</v>
      </c>
      <c r="D248" s="22">
        <f>'Daily Retun &amp; Risk'!D248</f>
        <v>-2.0031179811055243E-2</v>
      </c>
      <c r="E248" s="23">
        <f t="shared" si="10"/>
        <v>1.789041095890411E-4</v>
      </c>
      <c r="F248" s="22">
        <f t="shared" si="11"/>
        <v>-1.5794928628683456E-3</v>
      </c>
      <c r="N248" s="26">
        <v>215</v>
      </c>
      <c r="O248" s="26">
        <v>-4.9850695802430584E-3</v>
      </c>
      <c r="P248" s="26">
        <v>-5.8361025232759878E-3</v>
      </c>
      <c r="Q248" s="24"/>
      <c r="R248" s="24"/>
      <c r="S248" s="24"/>
      <c r="T248" s="24"/>
      <c r="U248" s="24"/>
      <c r="V248" s="24"/>
    </row>
    <row r="249" spans="1:22" ht="21" x14ac:dyDescent="0.35">
      <c r="A249" s="18">
        <v>45621</v>
      </c>
      <c r="B249" s="19">
        <v>24221.9</v>
      </c>
      <c r="C249" s="20"/>
      <c r="D249" s="22"/>
      <c r="E249" s="23"/>
      <c r="F249" s="22"/>
      <c r="N249" s="26">
        <v>216</v>
      </c>
      <c r="O249" s="26">
        <v>-8.7883722673955667E-3</v>
      </c>
      <c r="P249" s="26">
        <v>2.1794382469654192E-2</v>
      </c>
      <c r="Q249" s="24"/>
      <c r="R249" s="24"/>
      <c r="S249" s="24"/>
      <c r="T249" s="24"/>
      <c r="U249" s="24"/>
      <c r="V249" s="24"/>
    </row>
    <row r="250" spans="1:22" ht="21" x14ac:dyDescent="0.35">
      <c r="F250" s="32">
        <f>AVERAGE(F2:F248)</f>
        <v>3.3786451618902436E-4</v>
      </c>
      <c r="G250" s="21" t="s">
        <v>69</v>
      </c>
      <c r="N250" s="26">
        <v>217</v>
      </c>
      <c r="O250" s="26">
        <v>-6.2977489636401626E-4</v>
      </c>
      <c r="P250" s="26">
        <v>-6.7149501686037602E-3</v>
      </c>
      <c r="Q250" s="24"/>
      <c r="R250" s="24"/>
      <c r="S250" s="24"/>
      <c r="T250" s="24"/>
      <c r="U250" s="24"/>
      <c r="V250" s="24"/>
    </row>
    <row r="251" spans="1:22" ht="21" x14ac:dyDescent="0.35">
      <c r="N251" s="26">
        <v>218</v>
      </c>
      <c r="O251" s="26">
        <v>5.6503940394285919E-3</v>
      </c>
      <c r="P251" s="26">
        <v>-4.6366439626673349E-3</v>
      </c>
      <c r="Q251" s="24"/>
      <c r="R251" s="24"/>
      <c r="S251" s="24"/>
      <c r="T251" s="24"/>
      <c r="U251" s="24"/>
      <c r="V251" s="24"/>
    </row>
    <row r="252" spans="1:22" ht="21" x14ac:dyDescent="0.35">
      <c r="N252" s="26">
        <v>219</v>
      </c>
      <c r="O252" s="26">
        <v>-2.1457546673210721E-2</v>
      </c>
      <c r="P252" s="26">
        <v>-5.4966362439326302E-3</v>
      </c>
      <c r="Q252" s="24"/>
      <c r="R252" s="24"/>
      <c r="S252" s="24"/>
      <c r="T252" s="24"/>
      <c r="U252" s="24"/>
      <c r="V252" s="24"/>
    </row>
    <row r="253" spans="1:22" ht="21" x14ac:dyDescent="0.35">
      <c r="N253" s="26">
        <v>220</v>
      </c>
      <c r="O253" s="26">
        <v>-9.7952323731213386E-3</v>
      </c>
      <c r="P253" s="26">
        <v>3.3749905328601349E-3</v>
      </c>
      <c r="Q253" s="24"/>
      <c r="R253" s="24"/>
      <c r="S253" s="24"/>
      <c r="T253" s="24"/>
      <c r="U253" s="24"/>
      <c r="V253" s="24"/>
    </row>
    <row r="254" spans="1:22" ht="21" x14ac:dyDescent="0.35">
      <c r="N254" s="26">
        <v>221</v>
      </c>
      <c r="O254" s="26">
        <v>2.5395139362481872E-2</v>
      </c>
      <c r="P254" s="26">
        <v>1.5639681308162279E-2</v>
      </c>
      <c r="Q254" s="24"/>
      <c r="R254" s="24"/>
      <c r="S254" s="24"/>
      <c r="T254" s="24"/>
      <c r="U254" s="24"/>
      <c r="V254" s="24"/>
    </row>
    <row r="255" spans="1:22" ht="21" x14ac:dyDescent="0.35">
      <c r="N255" s="26">
        <v>222</v>
      </c>
      <c r="O255" s="26">
        <v>5.9972574882853052E-3</v>
      </c>
      <c r="P255" s="26">
        <v>1.8605320219591923E-2</v>
      </c>
      <c r="Q255" s="24"/>
      <c r="R255" s="24"/>
      <c r="S255" s="24"/>
      <c r="T255" s="24"/>
      <c r="U255" s="24"/>
      <c r="V255" s="24"/>
    </row>
    <row r="256" spans="1:22" ht="21" x14ac:dyDescent="0.35">
      <c r="N256" s="26">
        <v>223</v>
      </c>
      <c r="O256" s="26">
        <v>4.3727083638622928E-4</v>
      </c>
      <c r="P256" s="26">
        <v>9.6039994022576781E-4</v>
      </c>
      <c r="Q256" s="24"/>
      <c r="R256" s="24"/>
      <c r="S256" s="24"/>
      <c r="T256" s="24"/>
      <c r="U256" s="24"/>
      <c r="V256" s="24"/>
    </row>
    <row r="257" spans="14:22" ht="21" x14ac:dyDescent="0.35">
      <c r="N257" s="26">
        <v>224</v>
      </c>
      <c r="O257" s="26">
        <v>-9.0831724802130486E-3</v>
      </c>
      <c r="P257" s="26">
        <v>-6.2995855957947884E-3</v>
      </c>
      <c r="Q257" s="24"/>
      <c r="R257" s="24"/>
      <c r="S257" s="24"/>
      <c r="T257" s="24"/>
      <c r="U257" s="24"/>
      <c r="V257" s="24"/>
    </row>
    <row r="258" spans="14:22" ht="21" x14ac:dyDescent="0.35">
      <c r="N258" s="26">
        <v>225</v>
      </c>
      <c r="O258" s="26">
        <v>4.0080219157192596E-3</v>
      </c>
      <c r="P258" s="26">
        <v>2.0490722046067097E-2</v>
      </c>
      <c r="Q258" s="24"/>
      <c r="R258" s="24"/>
      <c r="S258" s="24"/>
      <c r="T258" s="24"/>
      <c r="U258" s="24"/>
      <c r="V258" s="24"/>
    </row>
    <row r="259" spans="14:22" ht="21" x14ac:dyDescent="0.35">
      <c r="N259" s="26">
        <v>226</v>
      </c>
      <c r="O259" s="26">
        <v>1.717274400184556E-3</v>
      </c>
      <c r="P259" s="26">
        <v>1.4186589563082091E-2</v>
      </c>
      <c r="Q259" s="24"/>
      <c r="R259" s="24"/>
      <c r="S259" s="24"/>
      <c r="T259" s="24"/>
      <c r="U259" s="24"/>
      <c r="V259" s="24"/>
    </row>
    <row r="260" spans="14:22" ht="21" x14ac:dyDescent="0.35">
      <c r="N260" s="26">
        <v>227</v>
      </c>
      <c r="O260" s="26">
        <v>-1.0149474803590713E-3</v>
      </c>
      <c r="P260" s="26">
        <v>7.6610836262767891E-3</v>
      </c>
      <c r="Q260" s="24"/>
      <c r="R260" s="24"/>
      <c r="S260" s="24"/>
      <c r="T260" s="24"/>
      <c r="U260" s="24"/>
      <c r="V260" s="24"/>
    </row>
    <row r="261" spans="14:22" ht="21" x14ac:dyDescent="0.35">
      <c r="N261" s="26">
        <v>228</v>
      </c>
      <c r="O261" s="26">
        <v>9.8481528308352745E-3</v>
      </c>
      <c r="P261" s="26">
        <v>-8.8336487760808206E-3</v>
      </c>
      <c r="Q261" s="24"/>
      <c r="R261" s="24"/>
      <c r="S261" s="24"/>
      <c r="T261" s="24"/>
      <c r="U261" s="24"/>
      <c r="V261" s="24"/>
    </row>
    <row r="262" spans="14:22" ht="21" x14ac:dyDescent="0.35">
      <c r="N262" s="26">
        <v>229</v>
      </c>
      <c r="O262" s="26">
        <v>-2.0112313179224694E-2</v>
      </c>
      <c r="P262" s="26">
        <v>-1.6473425662188786E-2</v>
      </c>
      <c r="Q262" s="24"/>
      <c r="R262" s="24"/>
      <c r="S262" s="24"/>
      <c r="T262" s="24"/>
      <c r="U262" s="24"/>
      <c r="V262" s="24"/>
    </row>
    <row r="263" spans="14:22" ht="21" x14ac:dyDescent="0.35">
      <c r="N263" s="26">
        <v>230</v>
      </c>
      <c r="O263" s="26">
        <v>-1.3328818284483632E-2</v>
      </c>
      <c r="P263" s="26">
        <v>1.2775996255971981E-3</v>
      </c>
      <c r="Q263" s="24"/>
      <c r="R263" s="24"/>
      <c r="S263" s="24"/>
      <c r="T263" s="24"/>
      <c r="U263" s="24"/>
      <c r="V263" s="24"/>
    </row>
    <row r="264" spans="14:22" ht="21" x14ac:dyDescent="0.35">
      <c r="N264" s="26">
        <v>231</v>
      </c>
      <c r="O264" s="26">
        <v>-7.1388085437269697E-3</v>
      </c>
      <c r="P264" s="26">
        <v>1.0322949629121444E-2</v>
      </c>
      <c r="Q264" s="24"/>
      <c r="R264" s="24"/>
      <c r="S264" s="24"/>
      <c r="T264" s="24"/>
      <c r="U264" s="24"/>
      <c r="V264" s="24"/>
    </row>
    <row r="265" spans="14:22" ht="21" x14ac:dyDescent="0.35">
      <c r="N265" s="26">
        <v>232</v>
      </c>
      <c r="O265" s="26">
        <v>-1.7748377198727162E-2</v>
      </c>
      <c r="P265" s="26">
        <v>3.596158168393088E-3</v>
      </c>
      <c r="Q265" s="24"/>
      <c r="R265" s="24"/>
      <c r="S265" s="24"/>
      <c r="T265" s="24"/>
      <c r="U265" s="24"/>
      <c r="V265" s="24"/>
    </row>
    <row r="266" spans="14:22" ht="21" x14ac:dyDescent="0.35">
      <c r="N266" s="26">
        <v>233</v>
      </c>
      <c r="O266" s="26">
        <v>-4.9870062416470266E-3</v>
      </c>
      <c r="P266" s="26">
        <v>6.1060008850664198E-3</v>
      </c>
      <c r="Q266" s="24"/>
      <c r="R266" s="24"/>
      <c r="S266" s="24"/>
      <c r="T266" s="24"/>
      <c r="U266" s="24"/>
      <c r="V266" s="24"/>
    </row>
    <row r="267" spans="14:22" ht="21" x14ac:dyDescent="0.35">
      <c r="N267" s="26">
        <v>234</v>
      </c>
      <c r="O267" s="26">
        <v>1.2390110813888021E-2</v>
      </c>
      <c r="P267" s="26">
        <v>-7.8526691999342563E-3</v>
      </c>
      <c r="Q267" s="24"/>
      <c r="R267" s="24"/>
      <c r="S267" s="24"/>
      <c r="T267" s="24"/>
      <c r="U267" s="24"/>
      <c r="V267" s="24"/>
    </row>
    <row r="268" spans="14:22" ht="21" x14ac:dyDescent="0.35">
      <c r="N268" s="26">
        <v>235</v>
      </c>
      <c r="O268" s="26">
        <v>-4.6350861990990602E-3</v>
      </c>
      <c r="P268" s="26">
        <v>3.1365925560437441E-3</v>
      </c>
      <c r="Q268" s="24"/>
      <c r="R268" s="24"/>
      <c r="S268" s="24"/>
      <c r="T268" s="24"/>
      <c r="U268" s="24"/>
      <c r="V268" s="24"/>
    </row>
    <row r="269" spans="14:22" ht="21" x14ac:dyDescent="0.35">
      <c r="N269" s="26">
        <v>236</v>
      </c>
      <c r="O269" s="26">
        <v>2.1725520983738502E-3</v>
      </c>
      <c r="P269" s="26">
        <v>-4.9474035267570637E-4</v>
      </c>
      <c r="Q269" s="24"/>
      <c r="R269" s="24"/>
      <c r="S269" s="24"/>
      <c r="T269" s="24"/>
      <c r="U269" s="24"/>
      <c r="V269" s="24"/>
    </row>
    <row r="270" spans="14:22" ht="21" x14ac:dyDescent="0.35">
      <c r="N270" s="26">
        <v>237</v>
      </c>
      <c r="O270" s="26">
        <v>-4.4839987064869587E-5</v>
      </c>
      <c r="P270" s="26">
        <v>5.1607767109731056E-3</v>
      </c>
      <c r="Q270" s="24"/>
      <c r="R270" s="24"/>
      <c r="S270" s="24"/>
      <c r="T270" s="24"/>
      <c r="U270" s="24"/>
      <c r="V270" s="24"/>
    </row>
    <row r="271" spans="14:22" ht="21" x14ac:dyDescent="0.35">
      <c r="N271" s="26">
        <v>238</v>
      </c>
      <c r="O271" s="26">
        <v>-2.7573147767901212E-3</v>
      </c>
      <c r="P271" s="26">
        <v>-4.3456256465246581E-3</v>
      </c>
      <c r="Q271" s="24"/>
      <c r="R271" s="24"/>
      <c r="S271" s="24"/>
      <c r="T271" s="24"/>
      <c r="U271" s="24"/>
      <c r="V271" s="24"/>
    </row>
    <row r="272" spans="14:22" ht="21" x14ac:dyDescent="0.35">
      <c r="N272" s="26">
        <v>239</v>
      </c>
      <c r="O272" s="26">
        <v>-1.2194811818236062E-3</v>
      </c>
      <c r="P272" s="26">
        <v>1.6751658559197497E-3</v>
      </c>
      <c r="Q272" s="24"/>
      <c r="R272" s="24"/>
      <c r="S272" s="24"/>
      <c r="T272" s="24"/>
      <c r="U272" s="24"/>
      <c r="V272" s="24"/>
    </row>
    <row r="273" spans="14:22" ht="21" x14ac:dyDescent="0.35">
      <c r="N273" s="26">
        <v>240</v>
      </c>
      <c r="O273" s="26">
        <v>1.3589285234678018E-2</v>
      </c>
      <c r="P273" s="26">
        <v>-5.3069731519075729E-4</v>
      </c>
      <c r="Q273" s="24"/>
      <c r="R273" s="24"/>
      <c r="S273" s="24"/>
      <c r="T273" s="24"/>
      <c r="U273" s="24"/>
      <c r="V273" s="24"/>
    </row>
    <row r="274" spans="14:22" ht="21" x14ac:dyDescent="0.35">
      <c r="N274" s="26">
        <v>241</v>
      </c>
      <c r="O274" s="26">
        <v>1.0077985730934502E-3</v>
      </c>
      <c r="P274" s="26">
        <v>4.6107882521496642E-4</v>
      </c>
      <c r="Q274" s="24"/>
      <c r="R274" s="24"/>
      <c r="S274" s="24"/>
      <c r="T274" s="24"/>
      <c r="U274" s="24"/>
      <c r="V274" s="24"/>
    </row>
    <row r="275" spans="14:22" ht="21" x14ac:dyDescent="0.35">
      <c r="N275" s="26">
        <v>242</v>
      </c>
      <c r="O275" s="26">
        <v>1.0413557800655414E-2</v>
      </c>
      <c r="P275" s="26">
        <v>-6.8064919905544974E-3</v>
      </c>
      <c r="Q275" s="24"/>
      <c r="R275" s="24"/>
      <c r="S275" s="24"/>
      <c r="T275" s="24"/>
      <c r="U275" s="24"/>
      <c r="V275" s="24"/>
    </row>
    <row r="276" spans="14:22" ht="21" x14ac:dyDescent="0.35">
      <c r="N276" s="26">
        <v>243</v>
      </c>
      <c r="O276" s="26">
        <v>8.4770282800628281E-3</v>
      </c>
      <c r="P276" s="26">
        <v>8.3390804772321865E-3</v>
      </c>
      <c r="Q276" s="24"/>
      <c r="R276" s="24"/>
      <c r="S276" s="24"/>
      <c r="T276" s="24"/>
      <c r="U276" s="24"/>
      <c r="V276" s="24"/>
    </row>
    <row r="277" spans="14:22" ht="21" x14ac:dyDescent="0.35">
      <c r="N277" s="26">
        <v>244</v>
      </c>
      <c r="O277" s="26">
        <v>1.2558365280707307E-2</v>
      </c>
      <c r="P277" s="26">
        <v>1.0427232683654707E-2</v>
      </c>
      <c r="Q277" s="24"/>
      <c r="R277" s="24"/>
      <c r="S277" s="24"/>
      <c r="T277" s="24"/>
      <c r="U277" s="24"/>
      <c r="V277" s="24"/>
    </row>
    <row r="278" spans="14:22" ht="21" x14ac:dyDescent="0.35">
      <c r="N278" s="26">
        <v>245</v>
      </c>
      <c r="O278" s="26">
        <v>-1.9643008612916214E-2</v>
      </c>
      <c r="P278" s="26">
        <v>-1.6305640794192749E-2</v>
      </c>
      <c r="Q278" s="24"/>
      <c r="R278" s="24"/>
      <c r="S278" s="24"/>
      <c r="T278" s="24"/>
      <c r="U278" s="24"/>
      <c r="V278" s="24"/>
    </row>
    <row r="279" spans="14:22" ht="21" x14ac:dyDescent="0.35">
      <c r="N279" s="26">
        <v>246</v>
      </c>
      <c r="O279" s="26">
        <v>4.8935095578149642E-3</v>
      </c>
      <c r="P279" s="26">
        <v>1.6507541988965199E-3</v>
      </c>
      <c r="Q279" s="24"/>
      <c r="R279" s="24"/>
      <c r="S279" s="24"/>
      <c r="T279" s="24"/>
      <c r="U279" s="24"/>
      <c r="V279" s="24"/>
    </row>
    <row r="280" spans="14:22" ht="21.75" thickBot="1" x14ac:dyDescent="0.4">
      <c r="N280" s="27">
        <v>247</v>
      </c>
      <c r="O280" s="27">
        <v>-1.0754495185706918E-3</v>
      </c>
      <c r="P280" s="27">
        <v>-1.8955730292484551E-2</v>
      </c>
      <c r="Q280" s="24"/>
      <c r="R280" s="24"/>
      <c r="S280" s="24"/>
      <c r="T280" s="24"/>
      <c r="U280" s="24"/>
      <c r="V280" s="2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B17" sqref="B17"/>
    </sheetView>
  </sheetViews>
  <sheetFormatPr defaultRowHeight="15" x14ac:dyDescent="0.25"/>
  <cols>
    <col min="1" max="1" width="23" customWidth="1"/>
    <col min="2" max="2" width="12" bestFit="1" customWidth="1"/>
    <col min="5" max="5" width="10.5703125" bestFit="1" customWidth="1"/>
  </cols>
  <sheetData>
    <row r="1" spans="1:5" x14ac:dyDescent="0.25">
      <c r="A1" s="33" t="s">
        <v>70</v>
      </c>
      <c r="C1" s="36"/>
      <c r="D1" s="36"/>
      <c r="E1" s="36"/>
    </row>
    <row r="2" spans="1:5" x14ac:dyDescent="0.25">
      <c r="B2" s="35" t="s">
        <v>78</v>
      </c>
      <c r="C2" s="35"/>
      <c r="D2" s="35"/>
      <c r="E2" s="35"/>
    </row>
    <row r="3" spans="1:5" x14ac:dyDescent="0.25">
      <c r="A3" s="37" t="s">
        <v>73</v>
      </c>
      <c r="B3" s="37" t="s">
        <v>24</v>
      </c>
      <c r="C3" s="37" t="s">
        <v>75</v>
      </c>
      <c r="D3" s="37" t="s">
        <v>76</v>
      </c>
      <c r="E3" s="37" t="s">
        <v>77</v>
      </c>
    </row>
    <row r="4" spans="1:5" x14ac:dyDescent="0.25">
      <c r="A4" s="14" t="s">
        <v>74</v>
      </c>
      <c r="B4" s="16">
        <f>'Daily Retun &amp; Risk'!G254</f>
        <v>8.4190786048667695E-4</v>
      </c>
      <c r="C4" s="16">
        <f>'Daily Retun &amp; Risk'!H255</f>
        <v>2.9796125798527216E-4</v>
      </c>
      <c r="D4" s="16">
        <f>'Daily Retun &amp; Risk'!H256</f>
        <v>1.7261554332830869E-2</v>
      </c>
      <c r="E4" s="43">
        <v>0.8</v>
      </c>
    </row>
    <row r="5" spans="1:5" x14ac:dyDescent="0.25">
      <c r="A5" s="14" t="s">
        <v>71</v>
      </c>
      <c r="B5" s="16">
        <f>'Daily Retun &amp; Risk'!L254</f>
        <v>-7.0825475591557575E-4</v>
      </c>
      <c r="C5" s="16">
        <f>'Daily Retun &amp; Risk'!M255</f>
        <v>2.6209883922200412E-4</v>
      </c>
      <c r="D5" s="16">
        <f>'Daily Retun &amp; Risk'!M256</f>
        <v>1.618946692210723E-2</v>
      </c>
      <c r="E5" s="43">
        <v>0.2</v>
      </c>
    </row>
    <row r="6" spans="1:5" x14ac:dyDescent="0.25">
      <c r="A6" s="41" t="s">
        <v>81</v>
      </c>
      <c r="B6" s="16">
        <f>'Daily Retun &amp; Risk'!Q254</f>
        <v>-9.0379137411731886E-4</v>
      </c>
      <c r="C6" s="16">
        <f>'Daily Retun &amp; Risk'!R255</f>
        <v>4.448860624660997E-4</v>
      </c>
      <c r="D6" s="16">
        <f>'Daily Retun &amp; Risk'!R256</f>
        <v>2.1092322358291882E-2</v>
      </c>
      <c r="E6" s="14"/>
    </row>
    <row r="7" spans="1:5" ht="30" x14ac:dyDescent="0.25">
      <c r="A7" s="4" t="s">
        <v>82</v>
      </c>
      <c r="B7" s="39">
        <f>'Daily Retun &amp; Risk'!C257</f>
        <v>7.6285058120040999E-5</v>
      </c>
    </row>
    <row r="8" spans="1:5" x14ac:dyDescent="0.25">
      <c r="A8" s="4" t="s">
        <v>80</v>
      </c>
      <c r="B8">
        <f>B7/(D4*D5)</f>
        <v>0.27297761377569674</v>
      </c>
    </row>
    <row r="9" spans="1:5" x14ac:dyDescent="0.25">
      <c r="A9" s="40" t="s">
        <v>83</v>
      </c>
      <c r="B9">
        <f>'Daily Retun &amp; Risk'!R257</f>
        <v>1.0922044618999459E-4</v>
      </c>
    </row>
    <row r="10" spans="1:5" x14ac:dyDescent="0.25">
      <c r="A10" s="4" t="s">
        <v>80</v>
      </c>
      <c r="B10">
        <f>B9/(D4*D6)</f>
        <v>0.29998507406499847</v>
      </c>
    </row>
    <row r="11" spans="1:5" ht="30" x14ac:dyDescent="0.25">
      <c r="A11" s="42" t="s">
        <v>84</v>
      </c>
      <c r="B11" s="39">
        <f>_xlfn.COVARIANCE.S('Daily Retun &amp; Risk'!K2:K248,'Daily Retun &amp; Risk'!P2:P248)</f>
        <v>8.2016871487594514E-5</v>
      </c>
    </row>
    <row r="12" spans="1:5" x14ac:dyDescent="0.25">
      <c r="A12" s="4" t="s">
        <v>80</v>
      </c>
      <c r="B12">
        <f>B11/(D5*D6)</f>
        <v>0.24018520401936669</v>
      </c>
    </row>
    <row r="15" spans="1:5" x14ac:dyDescent="0.25">
      <c r="A15" s="44" t="s">
        <v>85</v>
      </c>
      <c r="B15" s="45">
        <f>(E4*B4)+(E5*B5)</f>
        <v>5.318753372062265E-4</v>
      </c>
    </row>
    <row r="16" spans="1:5" x14ac:dyDescent="0.25">
      <c r="A16" s="44" t="s">
        <v>86</v>
      </c>
      <c r="B16" s="16">
        <f>(E4)^2*(D4)^2 + (E5)^2*(D5)^2+2*B8*E4*E5*D4*D5</f>
        <v>2.2559037727786752E-4</v>
      </c>
    </row>
    <row r="17" spans="1:2" x14ac:dyDescent="0.25">
      <c r="A17" s="44" t="s">
        <v>87</v>
      </c>
      <c r="B17" s="46">
        <f>SQRT(B16)</f>
        <v>1.5019666350417626E-2</v>
      </c>
    </row>
  </sheetData>
  <mergeCells count="1"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H15" sqref="H15"/>
    </sheetView>
  </sheetViews>
  <sheetFormatPr defaultRowHeight="15" x14ac:dyDescent="0.25"/>
  <cols>
    <col min="1" max="1" width="13.85546875" bestFit="1" customWidth="1"/>
    <col min="2" max="2" width="17" bestFit="1" customWidth="1"/>
    <col min="5" max="5" width="12.28515625" bestFit="1" customWidth="1"/>
  </cols>
  <sheetData>
    <row r="1" spans="1:5" x14ac:dyDescent="0.25">
      <c r="A1" t="s">
        <v>81</v>
      </c>
      <c r="E1" t="s">
        <v>100</v>
      </c>
    </row>
    <row r="3" spans="1:5" x14ac:dyDescent="0.25">
      <c r="A3" t="s">
        <v>88</v>
      </c>
      <c r="B3" s="48">
        <v>21913</v>
      </c>
      <c r="E3" s="50">
        <v>12201</v>
      </c>
    </row>
    <row r="4" spans="1:5" x14ac:dyDescent="0.25">
      <c r="A4" t="s">
        <v>94</v>
      </c>
      <c r="B4" s="48">
        <f>B3*0.75</f>
        <v>16434.75</v>
      </c>
      <c r="D4" t="s">
        <v>101</v>
      </c>
      <c r="E4">
        <f>E3*0.34</f>
        <v>4148.34</v>
      </c>
    </row>
    <row r="5" spans="1:5" x14ac:dyDescent="0.25">
      <c r="A5" t="s">
        <v>95</v>
      </c>
      <c r="B5" s="47">
        <f>B3-B4</f>
        <v>5478.25</v>
      </c>
      <c r="E5" s="47">
        <f>E3-E4</f>
        <v>8052.66</v>
      </c>
    </row>
    <row r="7" spans="1:5" x14ac:dyDescent="0.25">
      <c r="A7" t="s">
        <v>89</v>
      </c>
      <c r="B7" s="48">
        <v>4368</v>
      </c>
      <c r="E7" s="48">
        <v>4333</v>
      </c>
    </row>
    <row r="9" spans="1:5" x14ac:dyDescent="0.25">
      <c r="A9" t="s">
        <v>90</v>
      </c>
      <c r="B9" s="49">
        <v>874</v>
      </c>
      <c r="E9" s="49">
        <v>683</v>
      </c>
    </row>
    <row r="11" spans="1:5" x14ac:dyDescent="0.25">
      <c r="A11" t="s">
        <v>91</v>
      </c>
      <c r="B11" s="47">
        <f>B7-B9</f>
        <v>3494</v>
      </c>
      <c r="E11" s="47">
        <f>E7-E9</f>
        <v>3650</v>
      </c>
    </row>
    <row r="13" spans="1:5" x14ac:dyDescent="0.25">
      <c r="A13" t="s">
        <v>92</v>
      </c>
      <c r="B13" t="s">
        <v>93</v>
      </c>
      <c r="C13">
        <f>B5/B7</f>
        <v>1.2541781135531136</v>
      </c>
      <c r="E13">
        <f>E4/E7</f>
        <v>0.95738287560581592</v>
      </c>
    </row>
    <row r="15" spans="1:5" x14ac:dyDescent="0.25">
      <c r="A15" t="s">
        <v>96</v>
      </c>
      <c r="B15" t="s">
        <v>97</v>
      </c>
      <c r="C15">
        <f>B7/B11</f>
        <v>1.2501431024613623</v>
      </c>
      <c r="E15">
        <f>E7/E11</f>
        <v>1.187123287671233</v>
      </c>
    </row>
    <row r="17" spans="1:5" x14ac:dyDescent="0.25">
      <c r="A17" t="s">
        <v>98</v>
      </c>
      <c r="B17" t="s">
        <v>99</v>
      </c>
      <c r="C17">
        <f>C13*C15</f>
        <v>1.5679021179164281</v>
      </c>
      <c r="E17">
        <f>E13*E15</f>
        <v>1.1365315068493154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75E3588147654284604D4E812B6D70" ma:contentTypeVersion="28" ma:contentTypeDescription="Create a new document." ma:contentTypeScope="" ma:versionID="3a08c31e4fc4a7e2c32eb1cced69c24d">
  <xsd:schema xmlns:xsd="http://www.w3.org/2001/XMLSchema" xmlns:xs="http://www.w3.org/2001/XMLSchema" xmlns:p="http://schemas.microsoft.com/office/2006/metadata/properties" xmlns:ns2="0a2451e9-b2b7-43a3-aada-52e3e0c35c47" targetNamespace="http://schemas.microsoft.com/office/2006/metadata/properties" ma:root="true" ma:fieldsID="25526ca13001591f69b306ad34a4051b" ns2:_="">
    <xsd:import namespace="0a2451e9-b2b7-43a3-aada-52e3e0c35c47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451e9-b2b7-43a3-aada-52e3e0c35c47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3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0a2451e9-b2b7-43a3-aada-52e3e0c35c47" xsi:nil="true"/>
    <CultureName xmlns="0a2451e9-b2b7-43a3-aada-52e3e0c35c47" xsi:nil="true"/>
    <LMS_Mappings xmlns="0a2451e9-b2b7-43a3-aada-52e3e0c35c47" xsi:nil="true"/>
    <Invited_Students xmlns="0a2451e9-b2b7-43a3-aada-52e3e0c35c47" xsi:nil="true"/>
    <IsNotebookLocked xmlns="0a2451e9-b2b7-43a3-aada-52e3e0c35c47" xsi:nil="true"/>
    <Math_Settings xmlns="0a2451e9-b2b7-43a3-aada-52e3e0c35c47" xsi:nil="true"/>
    <Self_Registration_Enabled xmlns="0a2451e9-b2b7-43a3-aada-52e3e0c35c47" xsi:nil="true"/>
    <Teachers xmlns="0a2451e9-b2b7-43a3-aada-52e3e0c35c47">
      <UserInfo>
        <DisplayName/>
        <AccountId xsi:nil="true"/>
        <AccountType/>
      </UserInfo>
    </Teachers>
    <Students xmlns="0a2451e9-b2b7-43a3-aada-52e3e0c35c47">
      <UserInfo>
        <DisplayName/>
        <AccountId xsi:nil="true"/>
        <AccountType/>
      </UserInfo>
    </Students>
    <Student_Groups xmlns="0a2451e9-b2b7-43a3-aada-52e3e0c35c47">
      <UserInfo>
        <DisplayName/>
        <AccountId xsi:nil="true"/>
        <AccountType/>
      </UserInfo>
    </Student_Groups>
    <Templates xmlns="0a2451e9-b2b7-43a3-aada-52e3e0c35c47" xsi:nil="true"/>
    <Has_Teacher_Only_SectionGroup xmlns="0a2451e9-b2b7-43a3-aada-52e3e0c35c47" xsi:nil="true"/>
    <NotebookType xmlns="0a2451e9-b2b7-43a3-aada-52e3e0c35c47" xsi:nil="true"/>
    <Distribution_Groups xmlns="0a2451e9-b2b7-43a3-aada-52e3e0c35c47" xsi:nil="true"/>
    <AppVersion xmlns="0a2451e9-b2b7-43a3-aada-52e3e0c35c47" xsi:nil="true"/>
    <Invited_Teachers xmlns="0a2451e9-b2b7-43a3-aada-52e3e0c35c47" xsi:nil="true"/>
    <Teams_Channel_Section_Location xmlns="0a2451e9-b2b7-43a3-aada-52e3e0c35c47" xsi:nil="true"/>
    <Owner xmlns="0a2451e9-b2b7-43a3-aada-52e3e0c35c47">
      <UserInfo>
        <DisplayName/>
        <AccountId xsi:nil="true"/>
        <AccountType/>
      </UserInfo>
    </Owner>
    <DefaultSectionNames xmlns="0a2451e9-b2b7-43a3-aada-52e3e0c35c47" xsi:nil="true"/>
    <TeamsChannelId xmlns="0a2451e9-b2b7-43a3-aada-52e3e0c35c47" xsi:nil="true"/>
    <Is_Collaboration_Space_Locked xmlns="0a2451e9-b2b7-43a3-aada-52e3e0c35c47" xsi:nil="true"/>
  </documentManagement>
</p:properties>
</file>

<file path=customXml/itemProps1.xml><?xml version="1.0" encoding="utf-8"?>
<ds:datastoreItem xmlns:ds="http://schemas.openxmlformats.org/officeDocument/2006/customXml" ds:itemID="{EB326965-9D94-4606-A62D-7C38D22E324B}"/>
</file>

<file path=customXml/itemProps2.xml><?xml version="1.0" encoding="utf-8"?>
<ds:datastoreItem xmlns:ds="http://schemas.openxmlformats.org/officeDocument/2006/customXml" ds:itemID="{30F7897C-BC56-45A1-A5B0-A5E067E9EFF0}"/>
</file>

<file path=customXml/itemProps3.xml><?xml version="1.0" encoding="utf-8"?>
<ds:datastoreItem xmlns:ds="http://schemas.openxmlformats.org/officeDocument/2006/customXml" ds:itemID="{8F6DE817-D1A6-43C9-B175-8A78720D6E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Retun &amp; Risk</vt:lpstr>
      <vt:lpstr>Monthly Return Vs. Risk</vt:lpstr>
      <vt:lpstr>CAPM</vt:lpstr>
      <vt:lpstr>Portfolio Theory</vt:lpstr>
      <vt:lpstr>Degree of Leverage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2025-11-30T10:05:54Z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0x0101000A75E3588147654284604D4E812B6D70</vt:lpwstr>
  </property>
</Properties>
</file>